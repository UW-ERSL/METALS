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48654DAC-F76D-4016-BB9D-B23126570B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  <c r="G4" i="1"/>
  <c r="G3" i="1"/>
  <c r="I12" i="1"/>
  <c r="I11" i="1"/>
  <c r="I10" i="1"/>
  <c r="I9" i="1"/>
  <c r="I8" i="1"/>
  <c r="I7" i="1"/>
  <c r="I6" i="1"/>
  <c r="I5" i="1"/>
  <c r="I4" i="1"/>
  <c r="I3" i="1"/>
  <c r="E12" i="1"/>
  <c r="E11" i="1"/>
  <c r="E10" i="1"/>
  <c r="E9" i="1"/>
  <c r="E8" i="1"/>
  <c r="E7" i="1"/>
  <c r="E6" i="1"/>
  <c r="E5" i="1"/>
  <c r="E4" i="1"/>
  <c r="E3" i="1"/>
  <c r="F12" i="1"/>
  <c r="F11" i="1"/>
  <c r="F10" i="1"/>
  <c r="F9" i="1"/>
  <c r="F8" i="1"/>
  <c r="F7" i="1"/>
  <c r="F6" i="1"/>
  <c r="F5" i="1"/>
  <c r="F4" i="1"/>
  <c r="J12" i="1"/>
  <c r="J11" i="1"/>
  <c r="J10" i="1"/>
  <c r="J9" i="1"/>
  <c r="J8" i="1"/>
  <c r="J7" i="1"/>
  <c r="J6" i="1"/>
  <c r="J5" i="1"/>
  <c r="J4" i="1"/>
  <c r="J3" i="1"/>
  <c r="F3" i="1"/>
</calcChain>
</file>

<file path=xl/sharedStrings.xml><?xml version="1.0" encoding="utf-8"?>
<sst xmlns="http://schemas.openxmlformats.org/spreadsheetml/2006/main" count="64" uniqueCount="46">
  <si>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</si>
  <si>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</si>
  <si>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</si>
  <si>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</si>
  <si>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</si>
  <si>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</si>
  <si>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</si>
  <si>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</si>
  <si>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</si>
  <si>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</si>
  <si>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</si>
  <si>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</si>
  <si>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</si>
  <si>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</si>
  <si>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</si>
  <si>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</si>
  <si>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</si>
  <si>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</si>
  <si>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</si>
  <si>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</si>
  <si>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</si>
  <si>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</si>
  <si>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</si>
  <si>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</si>
  <si>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</si>
  <si>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</si>
  <si>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</si>
  <si>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</si>
  <si>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</si>
  <si>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</si>
  <si>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</si>
  <si>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</si>
  <si>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</si>
  <si>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</si>
  <si>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AA6061-T6 (A2)</t>
  </si>
  <si>
    <t>AA2024-T3 (A11)</t>
  </si>
  <si>
    <t>AA7075-T73 (A38)</t>
  </si>
  <si>
    <t>SS304 (S2)</t>
  </si>
  <si>
    <t>SS301-H12 (S30)</t>
  </si>
  <si>
    <t>SS15-5PH (S32)</t>
  </si>
  <si>
    <t>Nickel A286 (I16)</t>
  </si>
  <si>
    <t>IN718-DA (I22)</t>
  </si>
  <si>
    <t>TiGr2-0deg (T3)</t>
  </si>
  <si>
    <t>TiGr2-90deg (T4)</t>
  </si>
  <si>
    <t>PBR</t>
  </si>
  <si>
    <t>Fatigue_Limit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</si>
</sst>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F20" sqref="F20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2.88671875" style="1" bestFit="1" customWidth="1"/>
    <col min="4" max="6" width="9.33203125" style="1" customWidth="1"/>
    <col min="7" max="7" width="12.44140625" style="1" customWidth="1"/>
    <col min="8" max="10" width="11.6640625" style="1" customWidth="1"/>
    <col min="11" max="14" width="10.44140625" style="1" customWidth="1"/>
    <col min="15" max="15" width="10" style="1" customWidth="1"/>
    <col min="16" max="16" width="13.6640625" style="1" customWidth="1"/>
    <col min="17" max="17" width="16.5546875" style="1" customWidth="1"/>
    <col min="18" max="704" width="20.5546875" style="1" customWidth="1"/>
    <col min="705" max="16384" width="9.109375" style="1"/>
  </cols>
  <sheetData>
    <row r="1" spans="1:22" s="2" customFormat="1" ht="18" x14ac:dyDescent="0.3">
      <c r="A1" s="3"/>
      <c r="B1" s="6" t="s">
        <v>4</v>
      </c>
      <c r="C1" s="14" t="s">
        <v>44</v>
      </c>
      <c r="D1" s="10" t="s">
        <v>17</v>
      </c>
      <c r="E1" s="10" t="s">
        <v>18</v>
      </c>
      <c r="F1" s="10" t="s">
        <v>22</v>
      </c>
      <c r="G1" s="10" t="s">
        <v>23</v>
      </c>
      <c r="H1" s="10" t="s">
        <v>19</v>
      </c>
      <c r="I1" s="10" t="s">
        <v>20</v>
      </c>
      <c r="J1" s="10" t="s">
        <v>24</v>
      </c>
      <c r="K1" s="10" t="s">
        <v>25</v>
      </c>
      <c r="L1" s="6" t="s">
        <v>29</v>
      </c>
      <c r="M1" s="6" t="s">
        <v>30</v>
      </c>
      <c r="N1" s="6" t="s">
        <v>31</v>
      </c>
      <c r="O1" s="6" t="s">
        <v>32</v>
      </c>
      <c r="P1" s="14" t="s">
        <v>26</v>
      </c>
      <c r="Q1" s="6" t="s">
        <v>33</v>
      </c>
      <c r="R1" s="6" t="s">
        <v>45</v>
      </c>
    </row>
    <row r="2" spans="1:22" x14ac:dyDescent="0.3">
      <c r="A2" s="4"/>
      <c r="B2" s="7" t="s">
        <v>7</v>
      </c>
      <c r="C2" s="15" t="s">
        <v>27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7" t="s">
        <v>21</v>
      </c>
      <c r="M2" s="7" t="s">
        <v>21</v>
      </c>
      <c r="N2" s="7" t="s">
        <v>21</v>
      </c>
      <c r="O2" s="7" t="s">
        <v>21</v>
      </c>
      <c r="P2" s="15" t="s">
        <v>27</v>
      </c>
      <c r="Q2" s="7" t="s">
        <v>28</v>
      </c>
      <c r="R2" s="7" t="s">
        <v>12</v>
      </c>
    </row>
    <row r="3" spans="1:22" ht="18" x14ac:dyDescent="0.3">
      <c r="A3" s="3" t="s">
        <v>34</v>
      </c>
      <c r="B3" s="7">
        <v>2690</v>
      </c>
      <c r="C3" s="15">
        <v>1.29</v>
      </c>
      <c r="D3" s="17">
        <v>31660210473.422401</v>
      </c>
      <c r="E3" s="12">
        <f>D3*EXP(-100/Q3)</f>
        <v>25157992640.569477</v>
      </c>
      <c r="F3" s="12">
        <f>0.1*D3*EXP(-3000/Q3)</f>
        <v>3201691.1808246872</v>
      </c>
      <c r="G3" s="12">
        <f>0.01*F3</f>
        <v>32016.911808246874</v>
      </c>
      <c r="H3" s="12">
        <v>168216570.304768</v>
      </c>
      <c r="I3" s="12">
        <f>H3*EXP(-200/Q3)</f>
        <v>106216784.58188249</v>
      </c>
      <c r="J3" s="12">
        <f>0.1*H3*EXP(-3000/Q3)</f>
        <v>17011.179065454031</v>
      </c>
      <c r="K3" s="17">
        <v>170.1117906545403</v>
      </c>
      <c r="L3" s="8">
        <v>161</v>
      </c>
      <c r="M3" s="8">
        <v>153</v>
      </c>
      <c r="N3" s="8">
        <v>212</v>
      </c>
      <c r="O3" s="7">
        <v>156</v>
      </c>
      <c r="P3" s="15">
        <v>0.25</v>
      </c>
      <c r="Q3" s="18">
        <v>435</v>
      </c>
      <c r="R3" s="8">
        <v>112000000</v>
      </c>
    </row>
    <row r="4" spans="1:22" ht="18" x14ac:dyDescent="0.3">
      <c r="A4" s="3" t="s">
        <v>35</v>
      </c>
      <c r="B4" s="7">
        <v>2780</v>
      </c>
      <c r="C4" s="15">
        <v>1.28</v>
      </c>
      <c r="D4" s="12">
        <v>88122361302.941193</v>
      </c>
      <c r="E4" s="12">
        <f t="shared" ref="E4:E12" si="0">D4*EXP(-100/Q4)</f>
        <v>67495413765.530968</v>
      </c>
      <c r="F4" s="12">
        <f t="shared" ref="F4:F12" si="1">0.1*D4*EXP(-3000/Q4)</f>
        <v>2956175.8899659268</v>
      </c>
      <c r="G4" s="12">
        <f t="shared" ref="G4:G12" si="2">0.01*F4</f>
        <v>29561.758899659268</v>
      </c>
      <c r="H4" s="12">
        <v>331895501.95574099</v>
      </c>
      <c r="I4" s="12">
        <f t="shared" ref="I4:I12" si="3">H4*EXP(-200/Q4)</f>
        <v>194705241.49471983</v>
      </c>
      <c r="J4" s="12">
        <f t="shared" ref="J4:J12" si="4">0.1*H4*EXP(-3000/Q4)</f>
        <v>11133.853727509615</v>
      </c>
      <c r="K4" s="17">
        <v>111.33853727509616</v>
      </c>
      <c r="L4" s="8">
        <v>121</v>
      </c>
      <c r="M4" s="8">
        <v>121</v>
      </c>
      <c r="N4" s="8">
        <v>121</v>
      </c>
      <c r="O4" s="7">
        <v>121</v>
      </c>
      <c r="P4" s="15">
        <v>0.74</v>
      </c>
      <c r="Q4" s="18">
        <v>375</v>
      </c>
      <c r="R4" s="8">
        <v>118000000</v>
      </c>
    </row>
    <row r="5" spans="1:22" ht="18" x14ac:dyDescent="0.3">
      <c r="A5" s="3" t="s">
        <v>36</v>
      </c>
      <c r="B5" s="7">
        <v>2810</v>
      </c>
      <c r="C5" s="15">
        <v>1.28</v>
      </c>
      <c r="D5" s="12">
        <v>92976880986.810806</v>
      </c>
      <c r="E5" s="12">
        <f t="shared" si="0"/>
        <v>69870014842.551605</v>
      </c>
      <c r="F5" s="12">
        <f t="shared" si="1"/>
        <v>1761371.0038603023</v>
      </c>
      <c r="G5" s="12">
        <f t="shared" si="2"/>
        <v>17613.710038603022</v>
      </c>
      <c r="H5" s="12">
        <v>413532439.30818099</v>
      </c>
      <c r="I5" s="12">
        <f t="shared" si="3"/>
        <v>233529262.51540366</v>
      </c>
      <c r="J5" s="12">
        <f t="shared" si="4"/>
        <v>7834.0340095552874</v>
      </c>
      <c r="K5" s="17">
        <v>78.340340095552875</v>
      </c>
      <c r="L5" s="8">
        <v>155</v>
      </c>
      <c r="M5" s="8">
        <v>155</v>
      </c>
      <c r="N5" s="8">
        <v>155</v>
      </c>
      <c r="O5" s="8">
        <v>155</v>
      </c>
      <c r="P5" s="15">
        <v>0.15</v>
      </c>
      <c r="Q5" s="18">
        <v>350</v>
      </c>
      <c r="R5" s="8">
        <v>150000000</v>
      </c>
    </row>
    <row r="6" spans="1:22" ht="18" x14ac:dyDescent="0.3">
      <c r="A6" s="3" t="s">
        <v>37</v>
      </c>
      <c r="B6" s="7">
        <v>8000</v>
      </c>
      <c r="C6" s="15">
        <v>1.75</v>
      </c>
      <c r="D6" s="12">
        <v>54070808940.932602</v>
      </c>
      <c r="E6" s="12">
        <f t="shared" si="0"/>
        <v>49158824320.204659</v>
      </c>
      <c r="F6" s="12">
        <f t="shared" si="1"/>
        <v>310542818.33966625</v>
      </c>
      <c r="G6" s="12">
        <f t="shared" si="2"/>
        <v>3105428.1833966626</v>
      </c>
      <c r="H6" s="12">
        <v>384064916.71307498</v>
      </c>
      <c r="I6" s="12">
        <f t="shared" si="3"/>
        <v>317454785.95905936</v>
      </c>
      <c r="J6" s="12">
        <f t="shared" si="4"/>
        <v>2205785.4135631202</v>
      </c>
      <c r="K6" s="17">
        <v>2205.8541356311998</v>
      </c>
      <c r="L6" s="8">
        <v>15</v>
      </c>
      <c r="M6" s="8">
        <v>20</v>
      </c>
      <c r="N6" s="8">
        <v>29.6</v>
      </c>
      <c r="O6" s="7">
        <v>26</v>
      </c>
      <c r="P6" s="15">
        <v>0.46</v>
      </c>
      <c r="Q6" s="18">
        <v>1050</v>
      </c>
      <c r="R6" s="8">
        <v>229000000</v>
      </c>
      <c r="T6" s="5"/>
      <c r="V6" s="5"/>
    </row>
    <row r="7" spans="1:22" ht="18" x14ac:dyDescent="0.3">
      <c r="A7" s="3" t="s">
        <v>38</v>
      </c>
      <c r="B7" s="7">
        <v>7880</v>
      </c>
      <c r="C7" s="15">
        <v>1.9</v>
      </c>
      <c r="D7" s="12">
        <v>208286523523.36401</v>
      </c>
      <c r="E7" s="12">
        <f t="shared" si="0"/>
        <v>189365034825.65845</v>
      </c>
      <c r="F7" s="12">
        <f t="shared" si="1"/>
        <v>1196244060.4092991</v>
      </c>
      <c r="G7" s="12">
        <f t="shared" si="2"/>
        <v>11962440.604092991</v>
      </c>
      <c r="H7" s="12">
        <v>1076144940.77356</v>
      </c>
      <c r="I7" s="12">
        <f t="shared" si="3"/>
        <v>889504213.91760743</v>
      </c>
      <c r="J7" s="12">
        <f t="shared" si="4"/>
        <v>6180582.2660220498</v>
      </c>
      <c r="K7" s="17">
        <v>6180.8226602205004</v>
      </c>
      <c r="L7" s="8">
        <v>15</v>
      </c>
      <c r="M7" s="8">
        <v>20</v>
      </c>
      <c r="N7" s="8">
        <v>29.6</v>
      </c>
      <c r="O7" s="7">
        <v>26</v>
      </c>
      <c r="P7" s="15">
        <v>0.41</v>
      </c>
      <c r="Q7" s="18">
        <v>1050</v>
      </c>
      <c r="R7" s="8">
        <v>229000000</v>
      </c>
    </row>
    <row r="8" spans="1:22" ht="18" x14ac:dyDescent="0.3">
      <c r="A8" s="3" t="s">
        <v>39</v>
      </c>
      <c r="B8" s="7">
        <v>7790</v>
      </c>
      <c r="C8" s="15">
        <v>2.0499999999999998</v>
      </c>
      <c r="D8" s="12">
        <v>209574029756.772</v>
      </c>
      <c r="E8" s="12">
        <f t="shared" si="0"/>
        <v>190535579413.00525</v>
      </c>
      <c r="F8" s="12">
        <f t="shared" si="1"/>
        <v>1203638545.9400995</v>
      </c>
      <c r="G8" s="12">
        <f t="shared" si="2"/>
        <v>12036385.459400995</v>
      </c>
      <c r="H8" s="12">
        <v>1122217185.4625299</v>
      </c>
      <c r="I8" s="12">
        <f t="shared" si="3"/>
        <v>927585939.01127672</v>
      </c>
      <c r="J8" s="12">
        <f t="shared" si="4"/>
        <v>6445187.2348246612</v>
      </c>
      <c r="K8" s="17">
        <v>6445.8723482466003</v>
      </c>
      <c r="L8" s="8">
        <v>18</v>
      </c>
      <c r="M8" s="8">
        <v>18</v>
      </c>
      <c r="N8" s="8">
        <v>18</v>
      </c>
      <c r="O8" s="7">
        <v>18</v>
      </c>
      <c r="P8" s="15">
        <v>0.36</v>
      </c>
      <c r="Q8" s="18">
        <v>1050</v>
      </c>
      <c r="R8" s="8">
        <v>364000000</v>
      </c>
    </row>
    <row r="9" spans="1:22" ht="18" x14ac:dyDescent="0.3">
      <c r="A9" s="3" t="s">
        <v>40</v>
      </c>
      <c r="B9" s="7">
        <v>7900</v>
      </c>
      <c r="C9" s="15">
        <v>1.7</v>
      </c>
      <c r="D9" s="12">
        <v>199715213010.06699</v>
      </c>
      <c r="E9" s="12">
        <f t="shared" si="0"/>
        <v>181406173692.10736</v>
      </c>
      <c r="F9" s="12">
        <f t="shared" si="1"/>
        <v>1115934241.9398842</v>
      </c>
      <c r="G9" s="12">
        <f t="shared" si="2"/>
        <v>11159342.419398842</v>
      </c>
      <c r="H9" s="12">
        <v>367949011.25479698</v>
      </c>
      <c r="I9" s="12">
        <f t="shared" si="3"/>
        <v>303577423.43332487</v>
      </c>
      <c r="J9" s="12">
        <f t="shared" si="4"/>
        <v>2055962.060969559</v>
      </c>
      <c r="K9" s="17">
        <v>2055.6206096955998</v>
      </c>
      <c r="L9" s="8">
        <v>13</v>
      </c>
      <c r="M9" s="8">
        <v>16.8</v>
      </c>
      <c r="N9" s="8">
        <v>32</v>
      </c>
      <c r="O9" s="7">
        <v>23</v>
      </c>
      <c r="P9" s="15">
        <v>0.35</v>
      </c>
      <c r="Q9" s="18">
        <v>1040</v>
      </c>
      <c r="R9" s="8">
        <v>407000000</v>
      </c>
    </row>
    <row r="10" spans="1:22" ht="18" x14ac:dyDescent="0.3">
      <c r="A10" s="3" t="s">
        <v>41</v>
      </c>
      <c r="B10" s="7">
        <v>8180</v>
      </c>
      <c r="C10" s="15">
        <v>2.61</v>
      </c>
      <c r="D10" s="12">
        <v>279194502269.96802</v>
      </c>
      <c r="E10" s="12">
        <f t="shared" si="0"/>
        <v>252625632563.79269</v>
      </c>
      <c r="F10" s="12">
        <f t="shared" si="1"/>
        <v>1390027577.2446644</v>
      </c>
      <c r="G10" s="12">
        <f t="shared" si="2"/>
        <v>13900275.772446645</v>
      </c>
      <c r="H10" s="12">
        <v>1223876264.4957099</v>
      </c>
      <c r="I10" s="12">
        <f t="shared" si="3"/>
        <v>1002025135.7048398</v>
      </c>
      <c r="J10" s="12">
        <f t="shared" si="4"/>
        <v>6093321.1254253853</v>
      </c>
      <c r="K10" s="17">
        <v>6093.2112542538998</v>
      </c>
      <c r="L10" s="8">
        <v>10</v>
      </c>
      <c r="M10" s="8">
        <v>18.3</v>
      </c>
      <c r="N10" s="8">
        <v>23.3</v>
      </c>
      <c r="O10" s="7">
        <v>30</v>
      </c>
      <c r="P10" s="15">
        <v>0.64</v>
      </c>
      <c r="Q10" s="18">
        <v>1000</v>
      </c>
      <c r="R10" s="8">
        <v>485000000</v>
      </c>
    </row>
    <row r="11" spans="1:22" ht="18" x14ac:dyDescent="0.3">
      <c r="A11" s="3" t="s">
        <v>42</v>
      </c>
      <c r="B11" s="7">
        <v>4410</v>
      </c>
      <c r="C11" s="15">
        <v>1.75</v>
      </c>
      <c r="D11" s="12">
        <v>117108650073.651</v>
      </c>
      <c r="E11" s="12">
        <f t="shared" si="0"/>
        <v>107745159405.0425</v>
      </c>
      <c r="F11" s="12">
        <f t="shared" si="1"/>
        <v>961286338.01422894</v>
      </c>
      <c r="G11" s="12">
        <f t="shared" si="2"/>
        <v>9612863.3801422901</v>
      </c>
      <c r="H11" s="12">
        <v>425435242.49228698</v>
      </c>
      <c r="I11" s="12">
        <f t="shared" si="3"/>
        <v>360123157.89412779</v>
      </c>
      <c r="J11" s="12">
        <f t="shared" si="4"/>
        <v>3492185.1294537433</v>
      </c>
      <c r="K11" s="17">
        <v>3492.8512945374</v>
      </c>
      <c r="L11" s="8">
        <v>17</v>
      </c>
      <c r="M11" s="8">
        <v>17</v>
      </c>
      <c r="N11" s="8">
        <v>17</v>
      </c>
      <c r="O11" s="7">
        <v>17</v>
      </c>
      <c r="P11" s="15">
        <v>1E-3</v>
      </c>
      <c r="Q11" s="18">
        <v>1200</v>
      </c>
      <c r="R11" s="8">
        <v>245000000</v>
      </c>
    </row>
    <row r="12" spans="1:22" ht="18" x14ac:dyDescent="0.3">
      <c r="A12" s="3" t="s">
        <v>43</v>
      </c>
      <c r="B12" s="7">
        <v>4410</v>
      </c>
      <c r="C12" s="15">
        <v>1.75</v>
      </c>
      <c r="D12" s="12">
        <v>137833413174.57401</v>
      </c>
      <c r="E12" s="12">
        <f t="shared" si="0"/>
        <v>126812861940.56259</v>
      </c>
      <c r="F12" s="12">
        <f t="shared" si="1"/>
        <v>1131405553.0762184</v>
      </c>
      <c r="G12" s="12">
        <f t="shared" si="2"/>
        <v>11314055.530762184</v>
      </c>
      <c r="H12" s="12">
        <v>504059502.99034601</v>
      </c>
      <c r="I12" s="12">
        <f t="shared" si="3"/>
        <v>426677157.53877378</v>
      </c>
      <c r="J12" s="12">
        <f t="shared" si="4"/>
        <v>4137572.3609325667</v>
      </c>
      <c r="K12" s="17">
        <v>4137.7236093256997</v>
      </c>
      <c r="L12" s="8">
        <v>17</v>
      </c>
      <c r="M12" s="8">
        <v>17</v>
      </c>
      <c r="N12" s="8">
        <v>17</v>
      </c>
      <c r="O12" s="7">
        <v>17</v>
      </c>
      <c r="P12" s="15">
        <v>1E-3</v>
      </c>
      <c r="Q12" s="18">
        <v>1200</v>
      </c>
      <c r="R12" s="8">
        <v>245000000</v>
      </c>
    </row>
    <row r="16" spans="1:22" x14ac:dyDescent="0.3">
      <c r="B16" s="13"/>
    </row>
    <row r="17" spans="2:2" x14ac:dyDescent="0.3">
      <c r="B17" s="9"/>
    </row>
    <row r="18" spans="2:2" x14ac:dyDescent="0.3">
      <c r="B18" s="16"/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53a60102-fb63-4ced-9e5c-4647c6c5cb1e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2025-11-24T01:05:37Z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53a60102-fb63-4ced-9e5c-4647c6c5cb1e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