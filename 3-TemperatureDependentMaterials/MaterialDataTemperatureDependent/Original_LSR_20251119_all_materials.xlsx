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327B9C6C-91B2-4F36-8B63-0C0C02F796AD}" xr6:coauthVersionLast="47" xr6:coauthVersionMax="47" xr10:uidLastSave="{00000000-0000-0000-0000-000000000000}"/>
  <bookViews>
    <workbookView xWindow="2436" yWindow="2580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<sst xmlns="http://schemas.openxmlformats.org/spreadsheetml/2006/main" count="64" uniqueCount="46">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</sst>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topLeftCell="A3" workbookViewId="0">
      <selection activeCell="K4" sqref="K4:K12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2.88671875" style="1" bestFit="1" customWidth="1"/>
    <col min="4" max="6" width="9.33203125" style="1" customWidth="1"/>
    <col min="7" max="7" width="12.44140625" style="1" customWidth="1"/>
    <col min="8" max="10" width="11.6640625" style="1" customWidth="1"/>
    <col min="11" max="14" width="10.44140625" style="1" customWidth="1"/>
    <col min="15" max="15" width="10" style="1" customWidth="1"/>
    <col min="16" max="16" width="13.6640625" style="1" customWidth="1"/>
    <col min="17" max="17" width="16.5546875" style="1" customWidth="1"/>
    <col min="18" max="705" width="20.5546875" style="1" customWidth="1"/>
    <col min="706" max="16384" width="9.109375" style="1"/>
  </cols>
  <sheetData>
    <row r="1" spans="1:23" s="2" customFormat="1" ht="18" x14ac:dyDescent="0.3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3" x14ac:dyDescent="0.3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3" ht="18" x14ac:dyDescent="0.3">
      <c r="A3" s="3" t="s">
        <v>34</v>
      </c>
      <c r="B3" s="7">
        <v>2690</v>
      </c>
      <c r="C3" s="15">
        <v>1.29</v>
      </c>
      <c r="D3" s="17">
        <v>31660210473.422401</v>
      </c>
      <c r="E3" s="17">
        <v>73276522231.125107</v>
      </c>
      <c r="F3" s="17">
        <v>42098834999.111099</v>
      </c>
      <c r="G3" s="17">
        <f>0.001*F4</f>
        <v>2048198742.5744901</v>
      </c>
      <c r="H3" s="17">
        <v>168216570.304768</v>
      </c>
      <c r="I3" s="17">
        <v>1626009334.9888</v>
      </c>
      <c r="J3" s="17">
        <v>1362827.91216376</v>
      </c>
      <c r="K3" s="17">
        <f>0.001*J3</f>
        <v>1362.8279121637602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18">
        <v>435</v>
      </c>
      <c r="R3" s="8">
        <v>112000000</v>
      </c>
    </row>
    <row r="4" spans="1:23" ht="18" x14ac:dyDescent="0.3">
      <c r="A4" s="3" t="s">
        <v>35</v>
      </c>
      <c r="B4" s="7">
        <v>2780</v>
      </c>
      <c r="C4" s="15">
        <v>1.28</v>
      </c>
      <c r="D4" s="12">
        <v>88122361302.941193</v>
      </c>
      <c r="E4" s="12">
        <v>43160916887.095703</v>
      </c>
      <c r="F4" s="12">
        <v>2048198742574.49</v>
      </c>
      <c r="G4" s="17">
        <f t="shared" ref="G4:G12" si="0">0.001*F5</f>
        <v>2472842900.6711802</v>
      </c>
      <c r="H4" s="12">
        <v>331895501.95574099</v>
      </c>
      <c r="I4" s="12">
        <v>411398268.51887101</v>
      </c>
      <c r="J4" s="12">
        <v>211126489.35119501</v>
      </c>
      <c r="K4" s="17">
        <f t="shared" ref="K4:K12" si="1">0.001*J4</f>
        <v>211126.48935119502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18">
        <v>375</v>
      </c>
      <c r="R4" s="8">
        <v>118000000</v>
      </c>
    </row>
    <row r="5" spans="1:23" ht="18" x14ac:dyDescent="0.3">
      <c r="A5" s="3" t="s">
        <v>36</v>
      </c>
      <c r="B5" s="7">
        <v>2810</v>
      </c>
      <c r="C5" s="15">
        <v>1.28</v>
      </c>
      <c r="D5" s="12">
        <v>92976880986.810806</v>
      </c>
      <c r="E5" s="12">
        <v>36504792717.403801</v>
      </c>
      <c r="F5" s="12">
        <v>2472842900671.1802</v>
      </c>
      <c r="G5" s="17">
        <f t="shared" si="0"/>
        <v>171529075.34430802</v>
      </c>
      <c r="H5" s="12">
        <v>413532439.30818099</v>
      </c>
      <c r="I5" s="12">
        <v>478670621.39346302</v>
      </c>
      <c r="J5" s="12">
        <v>10759114.630594</v>
      </c>
      <c r="K5" s="17">
        <f t="shared" si="1"/>
        <v>10759.114630594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18">
        <v>350</v>
      </c>
      <c r="R5" s="8">
        <v>150000000</v>
      </c>
    </row>
    <row r="6" spans="1:23" ht="18" x14ac:dyDescent="0.3">
      <c r="A6" s="3" t="s">
        <v>37</v>
      </c>
      <c r="B6" s="7">
        <v>8000</v>
      </c>
      <c r="C6" s="15">
        <v>1.75</v>
      </c>
      <c r="D6" s="12">
        <v>54070808940.932602</v>
      </c>
      <c r="E6" s="12">
        <v>53063644666.036102</v>
      </c>
      <c r="F6" s="12">
        <v>171529075344.30801</v>
      </c>
      <c r="G6" s="17">
        <f t="shared" si="0"/>
        <v>11119522273.9464</v>
      </c>
      <c r="H6" s="12">
        <v>384064916.71307498</v>
      </c>
      <c r="I6" s="12">
        <v>67336407.728308499</v>
      </c>
      <c r="J6" s="12">
        <v>9802478271.9358501</v>
      </c>
      <c r="K6" s="17">
        <f t="shared" si="1"/>
        <v>9802478.2719358504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18">
        <v>1050</v>
      </c>
      <c r="R6" s="8">
        <v>229000000</v>
      </c>
      <c r="U6" s="5"/>
      <c r="W6" s="5"/>
    </row>
    <row r="7" spans="1:23" ht="18" x14ac:dyDescent="0.3">
      <c r="A7" s="3" t="s">
        <v>38</v>
      </c>
      <c r="B7" s="7">
        <v>7880</v>
      </c>
      <c r="C7" s="15">
        <v>1.9</v>
      </c>
      <c r="D7" s="12">
        <v>208286523523.36401</v>
      </c>
      <c r="E7" s="12">
        <v>41621688705.959396</v>
      </c>
      <c r="F7" s="12">
        <v>11119522273946.4</v>
      </c>
      <c r="G7" s="17">
        <f t="shared" si="0"/>
        <v>19958155949.305103</v>
      </c>
      <c r="H7" s="12">
        <v>1076144940.77356</v>
      </c>
      <c r="I7" s="12">
        <v>140180142.13102299</v>
      </c>
      <c r="J7" s="12">
        <v>694123231212.5</v>
      </c>
      <c r="K7" s="17">
        <f t="shared" si="1"/>
        <v>694123231.21249998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18">
        <v>1050</v>
      </c>
      <c r="R7" s="8">
        <v>229000000</v>
      </c>
    </row>
    <row r="8" spans="1:23" ht="18" x14ac:dyDescent="0.3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v>51877493376.366203</v>
      </c>
      <c r="F8" s="12">
        <v>19958155949305.102</v>
      </c>
      <c r="G8" s="17">
        <f t="shared" si="0"/>
        <v>5005582473.5935307</v>
      </c>
      <c r="H8" s="12">
        <v>1122217185.4625299</v>
      </c>
      <c r="I8" s="12">
        <v>183491963.934403</v>
      </c>
      <c r="J8" s="12">
        <v>285480605375.97302</v>
      </c>
      <c r="K8" s="17">
        <f t="shared" si="1"/>
        <v>285480605.37597305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18">
        <v>1050</v>
      </c>
      <c r="R8" s="8">
        <v>364000000</v>
      </c>
    </row>
    <row r="9" spans="1:23" ht="18" x14ac:dyDescent="0.3">
      <c r="A9" s="3" t="s">
        <v>40</v>
      </c>
      <c r="B9" s="7">
        <v>7900</v>
      </c>
      <c r="C9" s="15">
        <v>1.7</v>
      </c>
      <c r="D9" s="12">
        <v>199715213010.06699</v>
      </c>
      <c r="E9" s="12">
        <v>50388707522.034698</v>
      </c>
      <c r="F9" s="12">
        <v>5005582473593.5303</v>
      </c>
      <c r="G9" s="17">
        <f t="shared" si="0"/>
        <v>3667722145.0622702</v>
      </c>
      <c r="H9" s="12">
        <v>367949011.25479698</v>
      </c>
      <c r="I9" s="12">
        <v>81602444.260290399</v>
      </c>
      <c r="J9" s="12">
        <v>19124155940.442501</v>
      </c>
      <c r="K9" s="17">
        <f t="shared" si="1"/>
        <v>19124155.940442502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18">
        <v>1040</v>
      </c>
      <c r="R9" s="8">
        <v>407000000</v>
      </c>
    </row>
    <row r="10" spans="1:23" ht="18" x14ac:dyDescent="0.3">
      <c r="A10" s="3" t="s">
        <v>41</v>
      </c>
      <c r="B10" s="7">
        <v>8180</v>
      </c>
      <c r="C10" s="15">
        <v>2.61</v>
      </c>
      <c r="D10" s="12">
        <v>279194502269.96802</v>
      </c>
      <c r="E10" s="12">
        <v>112080318552.16499</v>
      </c>
      <c r="F10" s="12">
        <v>3667722145062.27</v>
      </c>
      <c r="G10" s="17">
        <f t="shared" si="0"/>
        <v>175213569.92829001</v>
      </c>
      <c r="H10" s="12">
        <v>1223876264.4957099</v>
      </c>
      <c r="I10" s="12">
        <v>692345364.51628304</v>
      </c>
      <c r="J10" s="12">
        <v>26710952266.052299</v>
      </c>
      <c r="K10" s="17">
        <f t="shared" si="1"/>
        <v>26710952.266052298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18">
        <v>1000</v>
      </c>
      <c r="R10" s="8">
        <v>485000000</v>
      </c>
    </row>
    <row r="11" spans="1:23" ht="18" x14ac:dyDescent="0.3">
      <c r="A11" s="3" t="s">
        <v>42</v>
      </c>
      <c r="B11" s="7">
        <v>4410</v>
      </c>
      <c r="C11" s="15">
        <v>1.75</v>
      </c>
      <c r="D11" s="12">
        <v>117108650073.651</v>
      </c>
      <c r="E11" s="12">
        <v>44884386172.699799</v>
      </c>
      <c r="F11" s="12">
        <v>175213569928.29001</v>
      </c>
      <c r="G11" s="17">
        <f t="shared" si="0"/>
        <v>13930248415.001699</v>
      </c>
      <c r="H11" s="12">
        <v>425435242.49228698</v>
      </c>
      <c r="I11" s="12">
        <v>77030174.758169293</v>
      </c>
      <c r="J11" s="12">
        <v>751102621.40532196</v>
      </c>
      <c r="K11" s="17">
        <f t="shared" si="1"/>
        <v>751102.62140532199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18">
        <v>1200</v>
      </c>
      <c r="R11" s="8">
        <v>245000000</v>
      </c>
    </row>
    <row r="12" spans="1:23" ht="18" x14ac:dyDescent="0.3">
      <c r="A12" s="3" t="s">
        <v>43</v>
      </c>
      <c r="B12" s="7">
        <v>4410</v>
      </c>
      <c r="C12" s="15">
        <v>1.75</v>
      </c>
      <c r="D12" s="12">
        <v>137833413174.57401</v>
      </c>
      <c r="E12" s="12">
        <v>26190448754.770599</v>
      </c>
      <c r="F12" s="12">
        <v>13930248415001.699</v>
      </c>
      <c r="G12" s="17">
        <f t="shared" si="0"/>
        <v>0</v>
      </c>
      <c r="H12" s="12">
        <v>504059502.99034601</v>
      </c>
      <c r="I12" s="12">
        <v>68511256.134603202</v>
      </c>
      <c r="J12" s="12">
        <v>8072139562.2192097</v>
      </c>
      <c r="K12" s="17">
        <f t="shared" si="1"/>
        <v>8072139.56221921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18">
        <v>1200</v>
      </c>
      <c r="R12" s="8">
        <v>245000000</v>
      </c>
    </row>
    <row r="16" spans="1:23" x14ac:dyDescent="0.3">
      <c r="B16" s="13"/>
    </row>
    <row r="17" spans="2:2" x14ac:dyDescent="0.3">
      <c r="B17" s="9"/>
    </row>
    <row r="18" spans="2:2" x14ac:dyDescent="0.3">
      <c r="B18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2025-11-23T22:20:28Z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