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ALS\data\"/>
    </mc:Choice>
  </mc:AlternateContent>
  <xr:revisionPtr revIDLastSave="0" documentId="13_ncr:1_{79831492-45CE-45E6-A998-EECD13DF7B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<sst xmlns="http://schemas.openxmlformats.org/spreadsheetml/2006/main" count="24" uniqueCount="24">
  <si>
    <t>Material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</si>
  <si>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</si>
  <si>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</si>
  <si>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</si>
  <si>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</si>
  <si>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</si>
  <si>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</si>
  <si>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</si>
  <si>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</si>
  <si>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</si>
  <si>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</si>
  <si>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</si>
  <si>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</si>
  <si>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</si>
  <si>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</si>
  <si>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</si>
  <si>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</si>
  <si>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MAR M247</t>
  </si>
  <si>
    <t>7068 Al</t>
  </si>
  <si>
    <t>7075 Al</t>
  </si>
  <si>
    <t>6061 Al</t>
  </si>
  <si>
    <t>Elastic Modulus (Pa)</t>
  </si>
  <si>
    <t>Density (kg/m3)</t>
  </si>
  <si>
    <t>Cost ($/kg)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</si>
</sst>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20" zoomScaleNormal="120" workbookViewId="0">
      <selection activeCell="I19" sqref="I19"/>
    </sheetView>
  </sheetViews>
  <sheetFormatPr defaultColWidth="9.140625" defaultRowHeight="15" x14ac:dyDescent="0.25"/>
  <cols>
    <col min="1" max="1" width="17.42578125" customWidth="1"/>
    <col min="2" max="2" width="17.85546875" customWidth="1"/>
    <col min="3" max="3" width="23.140625" customWidth="1"/>
    <col min="4" max="4" width="21.42578125" customWidth="1"/>
  </cols>
  <sheetData>
    <row r="1" spans="1:4" s="2" customFormat="1" x14ac:dyDescent="0.25">
      <c r="A1" s="1" t="s">
        <v>0</v>
      </c>
      <c r="B1" s="1" t="s">
        <v>22</v>
      </c>
      <c r="C1" s="1" t="s">
        <v>21</v>
      </c>
      <c r="D1" s="1" t="s">
        <v>23</v>
      </c>
    </row>
    <row r="2" spans="1:4" s="2" customFormat="1" x14ac:dyDescent="0.25">
      <c r="A2" s="4" t="s">
        <v>17</v>
      </c>
      <c r="B2" s="4">
        <f>7.8*1000</f>
        <v>7800</v>
      </c>
      <c r="C2" s="7">
        <v>170000000000</v>
      </c>
      <c r="D2" s="6">
        <v>24.200000000000003</v>
      </c>
    </row>
    <row r="3" spans="1:4" x14ac:dyDescent="0.25">
      <c r="A3" s="3" t="s">
        <v>1</v>
      </c>
      <c r="B3" s="3">
        <f>7.75*1000</f>
        <v>7750</v>
      </c>
      <c r="C3" s="7">
        <v>215000000000</v>
      </c>
      <c r="D3" s="6">
        <v>15.400000000000002</v>
      </c>
    </row>
    <row r="4" spans="1:4" x14ac:dyDescent="0.25">
      <c r="A4" s="3" t="s">
        <v>2</v>
      </c>
      <c r="B4" s="3">
        <f>8.19*1000</f>
        <v>8189.9999999999991</v>
      </c>
      <c r="C4" s="7">
        <v>193000000000</v>
      </c>
      <c r="D4" s="6">
        <v>15.400000000000002</v>
      </c>
    </row>
    <row r="5" spans="1:4" x14ac:dyDescent="0.25">
      <c r="A5" s="3" t="s">
        <v>3</v>
      </c>
      <c r="B5" s="3">
        <f>8.44*1000</f>
        <v>8440</v>
      </c>
      <c r="C5" s="7">
        <v>206000000000</v>
      </c>
      <c r="D5" s="6">
        <v>15.400000000000002</v>
      </c>
    </row>
    <row r="6" spans="1:4" x14ac:dyDescent="0.25">
      <c r="A6" s="3" t="s">
        <v>4</v>
      </c>
      <c r="B6" s="3">
        <f>8.47*1000</f>
        <v>8470</v>
      </c>
      <c r="C6" s="7">
        <v>180000000000</v>
      </c>
      <c r="D6" s="6">
        <v>15.400000000000002</v>
      </c>
    </row>
    <row r="7" spans="1:4" x14ac:dyDescent="0.25">
      <c r="A7" s="3" t="s">
        <v>5</v>
      </c>
      <c r="B7" s="3">
        <f>8.36*1000</f>
        <v>8360</v>
      </c>
      <c r="C7" s="7">
        <v>224000000000</v>
      </c>
      <c r="D7" s="6">
        <v>15.400000000000002</v>
      </c>
    </row>
    <row r="8" spans="1:4" x14ac:dyDescent="0.25">
      <c r="A8" s="3" t="s">
        <v>6</v>
      </c>
      <c r="B8" s="3">
        <f>8.89*1000</f>
        <v>8890</v>
      </c>
      <c r="C8" s="7">
        <v>205000000000</v>
      </c>
      <c r="D8" s="6">
        <v>15.400000000000002</v>
      </c>
    </row>
    <row r="9" spans="1:4" x14ac:dyDescent="0.25">
      <c r="A9" s="3" t="s">
        <v>7</v>
      </c>
      <c r="B9" s="3">
        <f>8.64*1000</f>
        <v>8640</v>
      </c>
      <c r="C9" s="7">
        <v>211000000000</v>
      </c>
      <c r="D9" s="6">
        <v>15.400000000000002</v>
      </c>
    </row>
    <row r="10" spans="1:4" x14ac:dyDescent="0.25">
      <c r="A10" s="3" t="s">
        <v>8</v>
      </c>
      <c r="B10" s="3">
        <f>8.02*1000</f>
        <v>8020</v>
      </c>
      <c r="C10" s="7">
        <v>138000000000</v>
      </c>
      <c r="D10" s="6">
        <v>15.400000000000002</v>
      </c>
    </row>
    <row r="11" spans="1:4" x14ac:dyDescent="0.25">
      <c r="A11" s="3" t="s">
        <v>9</v>
      </c>
      <c r="B11" s="3">
        <f>8.14*1000</f>
        <v>8140.0000000000009</v>
      </c>
      <c r="C11" s="7">
        <v>193000000000</v>
      </c>
      <c r="D11" s="6">
        <v>15.400000000000002</v>
      </c>
    </row>
    <row r="12" spans="1:4" x14ac:dyDescent="0.25">
      <c r="A12" s="3" t="s">
        <v>10</v>
      </c>
      <c r="B12" s="3">
        <f>8.05*1000</f>
        <v>8050.0000000000009</v>
      </c>
      <c r="C12" s="7">
        <v>218000000000</v>
      </c>
      <c r="D12" s="6">
        <v>15.400000000000002</v>
      </c>
    </row>
    <row r="13" spans="1:4" x14ac:dyDescent="0.25">
      <c r="A13" s="3" t="s">
        <v>11</v>
      </c>
      <c r="B13" s="3">
        <f>7.75*1000</f>
        <v>7750</v>
      </c>
      <c r="C13" s="7">
        <v>196000000000</v>
      </c>
      <c r="D13" s="6">
        <v>4.4000000000000004</v>
      </c>
    </row>
    <row r="14" spans="1:4" x14ac:dyDescent="0.25">
      <c r="A14" s="3" t="s">
        <v>12</v>
      </c>
      <c r="B14" s="3">
        <f>8*1000</f>
        <v>8000</v>
      </c>
      <c r="C14" s="7">
        <v>193000000000</v>
      </c>
      <c r="D14" s="6">
        <v>4.4000000000000004</v>
      </c>
    </row>
    <row r="15" spans="1:4" x14ac:dyDescent="0.25">
      <c r="A15" s="3" t="s">
        <v>13</v>
      </c>
      <c r="B15" s="3">
        <f>7.62*1000</f>
        <v>7620</v>
      </c>
      <c r="C15" s="7">
        <v>181000000000</v>
      </c>
      <c r="D15" s="6">
        <v>4.4000000000000004</v>
      </c>
    </row>
    <row r="16" spans="1:4" x14ac:dyDescent="0.25">
      <c r="A16" s="3" t="s">
        <v>14</v>
      </c>
      <c r="B16" s="3">
        <f>4.65*1000</f>
        <v>4650</v>
      </c>
      <c r="C16" s="7">
        <v>103000000000</v>
      </c>
      <c r="D16" s="6">
        <v>24.200000000000003</v>
      </c>
    </row>
    <row r="17" spans="1:4" x14ac:dyDescent="0.25">
      <c r="A17" s="3" t="s">
        <v>15</v>
      </c>
      <c r="B17" s="3">
        <f>4.42*1000</f>
        <v>4420</v>
      </c>
      <c r="C17" s="7">
        <v>114000000000</v>
      </c>
      <c r="D17" s="6">
        <v>24.200000000000003</v>
      </c>
    </row>
    <row r="18" spans="1:4" ht="14.25" customHeight="1" x14ac:dyDescent="0.25">
      <c r="A18" s="3" t="s">
        <v>16</v>
      </c>
      <c r="B18" s="3">
        <f>4.54*1000</f>
        <v>4540</v>
      </c>
      <c r="C18" s="7">
        <v>104000000000</v>
      </c>
      <c r="D18" s="6">
        <v>24.200000000000003</v>
      </c>
    </row>
    <row r="19" spans="1:4" x14ac:dyDescent="0.25">
      <c r="A19" s="5" t="s">
        <v>18</v>
      </c>
      <c r="B19" s="5">
        <f>2.85*1000</f>
        <v>2850</v>
      </c>
      <c r="C19" s="7">
        <v>73000000000</v>
      </c>
      <c r="D19" s="6">
        <v>2.2000000000000002</v>
      </c>
    </row>
    <row r="20" spans="1:4" x14ac:dyDescent="0.25">
      <c r="A20" s="5" t="s">
        <v>19</v>
      </c>
      <c r="B20" s="5">
        <f>2.81*1000</f>
        <v>2810</v>
      </c>
      <c r="C20" s="7">
        <v>72000000000</v>
      </c>
      <c r="D20" s="6">
        <v>2.2000000000000002</v>
      </c>
    </row>
    <row r="21" spans="1:4" x14ac:dyDescent="0.25">
      <c r="A21" s="5" t="s">
        <v>20</v>
      </c>
      <c r="B21" s="5">
        <f>2.7*1000</f>
        <v>2700</v>
      </c>
      <c r="C21" s="7">
        <v>69000000000</v>
      </c>
      <c r="D21" s="6">
        <v>2.2000000000000002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Deodhare</cp:lastModifiedBy>
  <cp:revision>11</cp:revision>
  <dcterms:created xsi:type="dcterms:W3CDTF">2021-10-21T14:17:47Z</dcterms:created>
  <dcterms:modified xsi:type="dcterms:W3CDTF">2025-09-27T22:00:31Z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