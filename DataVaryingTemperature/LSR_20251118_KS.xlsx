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VaryingTemperature\"/>
    </mc:Choice>
  </mc:AlternateContent>
  <xr:revisionPtr revIDLastSave="0" documentId="13_ncr:1_{5580CF38-459D-47CB-9DF0-FFE7A3D191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9" i="1"/>
  <c r="I8" i="1"/>
  <c r="I7" i="1"/>
  <c r="I6" i="1"/>
  <c r="I5" i="1"/>
  <c r="J5" i="1" s="1"/>
  <c r="I4" i="1"/>
  <c r="I3" i="1"/>
  <c r="E10" i="1"/>
  <c r="F10" i="1" s="1"/>
  <c r="E9" i="1"/>
  <c r="E8" i="1"/>
  <c r="E7" i="1"/>
  <c r="E6" i="1"/>
  <c r="E5" i="1"/>
  <c r="E4" i="1"/>
  <c r="E3" i="1"/>
  <c r="F3" i="1"/>
  <c r="J10" i="1"/>
  <c r="J9" i="1"/>
  <c r="J8" i="1"/>
  <c r="J7" i="1"/>
  <c r="J6" i="1"/>
  <c r="J4" i="1"/>
  <c r="J3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<sst xmlns="http://schemas.openxmlformats.org/spreadsheetml/2006/main" count="62" uniqueCount="44">
  <si>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</si>
  <si>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</si>
  <si>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</si>
  <si>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</si>
  <si>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</si>
  <si>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</si>
  <si>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</si>
  <si>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</si>
  <si>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</si>
  <si>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</si>
  <si>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</si>
  <si>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</si>
  <si>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</si>
  <si>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</si>
  <si>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</si>
  <si>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</si>
  <si>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</si>
  <si>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E0</t>
  </si>
  <si>
    <t>E1</t>
  </si>
  <si>
    <t>Y0</t>
  </si>
  <si>
    <t>Y1</t>
  </si>
  <si>
    <t>W/m-C</t>
  </si>
  <si>
    <t>E2</t>
  </si>
  <si>
    <t>E3</t>
  </si>
  <si>
    <t>Y2</t>
  </si>
  <si>
    <t>Y3</t>
  </si>
  <si>
    <t>Criticality</t>
  </si>
  <si>
    <t>Dimensionless</t>
  </si>
  <si>
    <t>Celsius</t>
  </si>
  <si>
    <t>K0</t>
  </si>
  <si>
    <t>K1</t>
  </si>
  <si>
    <t>K2</t>
  </si>
  <si>
    <t>K3</t>
  </si>
  <si>
    <t>Temp_Limit</t>
  </si>
  <si>
    <t>AA6061-T6 (A2)</t>
  </si>
  <si>
    <t>AA2024-T3 (A11)</t>
  </si>
  <si>
    <t>SS304 (S2)</t>
  </si>
  <si>
    <t>SS301-H12 (S30)</t>
  </si>
  <si>
    <t>SS15-5PH (S32)</t>
  </si>
  <si>
    <t>Nickel A286 (I16)</t>
  </si>
  <si>
    <t>IN718-DA (I22)</t>
  </si>
  <si>
    <t>TiGr2-0deg (T3)</t>
  </si>
  <si>
    <t>PBR</t>
  </si>
  <si>
    <t>Fatigue_Limit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</si>
</sst>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1" fontId="3" fillId="3" borderId="1" xfId="0" applyNumberFormat="1" applyFont="1" applyFill="1" applyBorder="1" applyAlignment="1">
      <alignment horizontal="center" vertical="center"/>
    </xf>
    <xf numFmtId="11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tabSelected="1" topLeftCell="B1" workbookViewId="0">
      <selection activeCell="K14" sqref="K14"/>
    </sheetView>
  </sheetViews>
  <sheetFormatPr defaultColWidth="9.21875" defaultRowHeight="14.4" x14ac:dyDescent="0.3"/>
  <cols>
    <col min="1" max="1" width="20.77734375" style="1" customWidth="1"/>
    <col min="2" max="2" width="14" style="1" customWidth="1"/>
    <col min="3" max="3" width="12.88671875" style="1" bestFit="1" customWidth="1"/>
    <col min="4" max="6" width="9.21875" style="1" customWidth="1"/>
    <col min="7" max="7" width="12.44140625" style="1" customWidth="1"/>
    <col min="8" max="10" width="11.77734375" style="1" customWidth="1"/>
    <col min="11" max="14" width="10.44140625" style="1" customWidth="1"/>
    <col min="15" max="15" width="10" style="1" customWidth="1"/>
    <col min="16" max="16" width="13.77734375" style="1" customWidth="1"/>
    <col min="17" max="17" width="16.5546875" style="1" customWidth="1"/>
    <col min="18" max="705" width="20.5546875" style="1" customWidth="1"/>
    <col min="706" max="16384" width="9.21875" style="1"/>
  </cols>
  <sheetData>
    <row r="1" spans="1:23" s="2" customFormat="1" ht="18" x14ac:dyDescent="0.3">
      <c r="A1" s="3"/>
      <c r="B1" s="6" t="s">
        <v>4</v>
      </c>
      <c r="C1" s="15" t="s">
        <v>42</v>
      </c>
      <c r="D1" s="10" t="s">
        <v>17</v>
      </c>
      <c r="E1" s="10" t="s">
        <v>18</v>
      </c>
      <c r="F1" s="10" t="s">
        <v>22</v>
      </c>
      <c r="G1" s="10" t="s">
        <v>23</v>
      </c>
      <c r="H1" s="10" t="s">
        <v>19</v>
      </c>
      <c r="I1" s="10" t="s">
        <v>20</v>
      </c>
      <c r="J1" s="10" t="s">
        <v>24</v>
      </c>
      <c r="K1" s="10" t="s">
        <v>25</v>
      </c>
      <c r="L1" s="6" t="s">
        <v>29</v>
      </c>
      <c r="M1" s="6" t="s">
        <v>30</v>
      </c>
      <c r="N1" s="6" t="s">
        <v>31</v>
      </c>
      <c r="O1" s="6" t="s">
        <v>32</v>
      </c>
      <c r="P1" s="15" t="s">
        <v>26</v>
      </c>
      <c r="Q1" s="6" t="s">
        <v>33</v>
      </c>
      <c r="R1" s="6" t="s">
        <v>43</v>
      </c>
    </row>
    <row r="2" spans="1:23" x14ac:dyDescent="0.3">
      <c r="A2" s="4"/>
      <c r="B2" s="7" t="s">
        <v>7</v>
      </c>
      <c r="C2" s="16" t="s">
        <v>27</v>
      </c>
      <c r="D2" s="11" t="s">
        <v>12</v>
      </c>
      <c r="E2" s="11" t="s">
        <v>12</v>
      </c>
      <c r="F2" s="11" t="s">
        <v>12</v>
      </c>
      <c r="G2" s="11" t="s">
        <v>12</v>
      </c>
      <c r="H2" s="11" t="s">
        <v>12</v>
      </c>
      <c r="I2" s="11" t="s">
        <v>12</v>
      </c>
      <c r="J2" s="11" t="s">
        <v>12</v>
      </c>
      <c r="K2" s="11" t="s">
        <v>12</v>
      </c>
      <c r="L2" s="7" t="s">
        <v>21</v>
      </c>
      <c r="M2" s="7" t="s">
        <v>21</v>
      </c>
      <c r="N2" s="7" t="s">
        <v>21</v>
      </c>
      <c r="O2" s="7" t="s">
        <v>21</v>
      </c>
      <c r="P2" s="16" t="s">
        <v>27</v>
      </c>
      <c r="Q2" s="7" t="s">
        <v>28</v>
      </c>
      <c r="R2" s="7" t="s">
        <v>12</v>
      </c>
    </row>
    <row r="3" spans="1:23" ht="18" x14ac:dyDescent="0.3">
      <c r="A3" s="3" t="s">
        <v>34</v>
      </c>
      <c r="B3" s="7">
        <v>2690</v>
      </c>
      <c r="C3" s="16">
        <v>1.29</v>
      </c>
      <c r="D3" s="12">
        <v>63399001967.084</v>
      </c>
      <c r="E3" s="12">
        <f>D3*EXP(-1500/Q3)</f>
        <v>2878310.2363172527</v>
      </c>
      <c r="F3" s="12">
        <f>E3*0.001</f>
        <v>2878.3102363172529</v>
      </c>
      <c r="G3" s="12">
        <v>0.99998428935052397</v>
      </c>
      <c r="H3" s="12">
        <v>286048960.886289</v>
      </c>
      <c r="I3" s="12">
        <f>H3*EXP(-1500/Q3)</f>
        <v>12986.602732869298</v>
      </c>
      <c r="J3" s="12">
        <f>I3*0.0001</f>
        <v>1.2986602732869299</v>
      </c>
      <c r="K3" s="12">
        <v>1.0001352689574301</v>
      </c>
      <c r="L3" s="8">
        <v>161</v>
      </c>
      <c r="M3" s="8">
        <v>153</v>
      </c>
      <c r="N3" s="8">
        <v>212</v>
      </c>
      <c r="O3" s="7">
        <v>156</v>
      </c>
      <c r="P3" s="16">
        <v>0.25</v>
      </c>
      <c r="Q3" s="7">
        <v>150</v>
      </c>
      <c r="R3" s="8">
        <v>112000000</v>
      </c>
    </row>
    <row r="4" spans="1:23" ht="18" x14ac:dyDescent="0.3">
      <c r="A4" s="3" t="s">
        <v>35</v>
      </c>
      <c r="B4" s="7">
        <v>2780</v>
      </c>
      <c r="C4" s="16">
        <v>1.28</v>
      </c>
      <c r="D4" s="13">
        <v>88122361302.941193</v>
      </c>
      <c r="E4" s="12">
        <f t="shared" ref="E4:E10" si="0">D4*EXP(-1500/Q4)</f>
        <v>4000749.0136578432</v>
      </c>
      <c r="F4" s="12">
        <f t="shared" ref="F4:F10" si="1">E4*0.001</f>
        <v>4000.7490136578435</v>
      </c>
      <c r="G4" s="13">
        <v>0.99968676964325098</v>
      </c>
      <c r="H4" s="13">
        <v>331895501.95574099</v>
      </c>
      <c r="I4" s="12">
        <f t="shared" ref="I4:I10" si="2">H4*EXP(-1500/Q4)</f>
        <v>15068.032477275296</v>
      </c>
      <c r="J4" s="12">
        <f t="shared" ref="J4:J10" si="3">I4*0.0001</f>
        <v>1.5068032477275297</v>
      </c>
      <c r="K4" s="13">
        <v>1.00011111067342</v>
      </c>
      <c r="L4" s="8">
        <v>121</v>
      </c>
      <c r="M4" s="8">
        <v>121</v>
      </c>
      <c r="N4" s="8">
        <v>121</v>
      </c>
      <c r="O4" s="7">
        <v>121</v>
      </c>
      <c r="P4" s="16">
        <v>0.74</v>
      </c>
      <c r="Q4" s="7">
        <v>150</v>
      </c>
      <c r="R4" s="8">
        <v>118000000</v>
      </c>
    </row>
    <row r="5" spans="1:23" ht="18" x14ac:dyDescent="0.3">
      <c r="A5" s="3" t="s">
        <v>36</v>
      </c>
      <c r="B5" s="7">
        <v>8000</v>
      </c>
      <c r="C5" s="16">
        <v>1.75</v>
      </c>
      <c r="D5" s="13">
        <v>54070808940.932602</v>
      </c>
      <c r="E5" s="12">
        <f t="shared" si="0"/>
        <v>1271623542.9016778</v>
      </c>
      <c r="F5" s="12">
        <f t="shared" si="1"/>
        <v>1271623.5429016778</v>
      </c>
      <c r="G5" s="13">
        <v>1.0006921851331401</v>
      </c>
      <c r="H5" s="13">
        <v>384064916.71307498</v>
      </c>
      <c r="I5" s="12">
        <f t="shared" si="2"/>
        <v>9032341.1034674011</v>
      </c>
      <c r="J5" s="12">
        <f t="shared" si="3"/>
        <v>903.23411034674018</v>
      </c>
      <c r="K5" s="13">
        <v>0.99970767300819297</v>
      </c>
      <c r="L5" s="8">
        <v>15</v>
      </c>
      <c r="M5" s="8">
        <v>20</v>
      </c>
      <c r="N5" s="8">
        <v>29.6</v>
      </c>
      <c r="O5" s="7">
        <v>26</v>
      </c>
      <c r="P5" s="16">
        <v>0.46</v>
      </c>
      <c r="Q5" s="7">
        <v>400</v>
      </c>
      <c r="R5" s="8">
        <v>229000000</v>
      </c>
      <c r="U5" s="5"/>
      <c r="W5" s="5"/>
    </row>
    <row r="6" spans="1:23" ht="18" x14ac:dyDescent="0.3">
      <c r="A6" s="3" t="s">
        <v>37</v>
      </c>
      <c r="B6" s="7">
        <v>7880</v>
      </c>
      <c r="C6" s="16">
        <v>1.9</v>
      </c>
      <c r="D6" s="13">
        <v>208286523523.36401</v>
      </c>
      <c r="E6" s="12">
        <f t="shared" si="0"/>
        <v>4852607321.1773453</v>
      </c>
      <c r="F6" s="12">
        <f t="shared" si="1"/>
        <v>4852607.3211773457</v>
      </c>
      <c r="G6" s="13">
        <v>1.0003021190852499</v>
      </c>
      <c r="H6" s="13">
        <v>1076144940.77356</v>
      </c>
      <c r="I6" s="12">
        <f t="shared" si="2"/>
        <v>25071755.627338804</v>
      </c>
      <c r="J6" s="12">
        <f t="shared" si="3"/>
        <v>2507.1755627338807</v>
      </c>
      <c r="K6" s="13">
        <v>0.99944668568157702</v>
      </c>
      <c r="L6" s="8">
        <v>15</v>
      </c>
      <c r="M6" s="8">
        <v>20</v>
      </c>
      <c r="N6" s="8">
        <v>29.6</v>
      </c>
      <c r="O6" s="7">
        <v>26</v>
      </c>
      <c r="P6" s="16">
        <v>0.41</v>
      </c>
      <c r="Q6" s="7">
        <v>399</v>
      </c>
      <c r="R6" s="8">
        <v>229000000</v>
      </c>
    </row>
    <row r="7" spans="1:23" ht="18" x14ac:dyDescent="0.3">
      <c r="A7" s="3" t="s">
        <v>38</v>
      </c>
      <c r="B7" s="7">
        <v>7790</v>
      </c>
      <c r="C7" s="16">
        <v>2.0499999999999998</v>
      </c>
      <c r="D7" s="13">
        <v>209574029756.772</v>
      </c>
      <c r="E7" s="12">
        <f t="shared" si="0"/>
        <v>1818917598.1906316</v>
      </c>
      <c r="F7" s="12">
        <f t="shared" si="1"/>
        <v>1818917.5981906317</v>
      </c>
      <c r="G7" s="13">
        <v>1.0003120524356199</v>
      </c>
      <c r="H7" s="13">
        <v>1122217185.4625299</v>
      </c>
      <c r="I7" s="12">
        <f t="shared" si="2"/>
        <v>9739854.6470608059</v>
      </c>
      <c r="J7" s="12">
        <f t="shared" si="3"/>
        <v>973.98546470608062</v>
      </c>
      <c r="K7" s="13">
        <v>0.99998084198200499</v>
      </c>
      <c r="L7" s="8">
        <v>18</v>
      </c>
      <c r="M7" s="8">
        <v>18</v>
      </c>
      <c r="N7" s="8">
        <v>18</v>
      </c>
      <c r="O7" s="7">
        <v>18</v>
      </c>
      <c r="P7" s="16">
        <v>0.36</v>
      </c>
      <c r="Q7" s="7">
        <v>316</v>
      </c>
      <c r="R7" s="8">
        <v>364000000</v>
      </c>
    </row>
    <row r="8" spans="1:23" ht="18" x14ac:dyDescent="0.3">
      <c r="A8" s="3" t="s">
        <v>39</v>
      </c>
      <c r="B8" s="7">
        <v>7900</v>
      </c>
      <c r="C8" s="16">
        <v>1.7</v>
      </c>
      <c r="D8" s="13">
        <v>199715213010.06699</v>
      </c>
      <c r="E8" s="12">
        <f t="shared" si="0"/>
        <v>18605824843.461025</v>
      </c>
      <c r="F8" s="12">
        <f t="shared" si="1"/>
        <v>18605824.843461026</v>
      </c>
      <c r="G8" s="13">
        <v>1.00279637203968</v>
      </c>
      <c r="H8" s="13">
        <v>367949011.25479698</v>
      </c>
      <c r="I8" s="12">
        <f t="shared" si="2"/>
        <v>34278785.033698648</v>
      </c>
      <c r="J8" s="12">
        <f t="shared" si="3"/>
        <v>3427.878503369865</v>
      </c>
      <c r="K8" s="13">
        <v>0.99981116858122199</v>
      </c>
      <c r="L8" s="8">
        <v>13</v>
      </c>
      <c r="M8" s="8">
        <v>16.8</v>
      </c>
      <c r="N8" s="8">
        <v>32</v>
      </c>
      <c r="O8" s="7">
        <v>23</v>
      </c>
      <c r="P8" s="16">
        <v>0.35</v>
      </c>
      <c r="Q8" s="7">
        <v>632</v>
      </c>
      <c r="R8" s="8">
        <v>407000000</v>
      </c>
    </row>
    <row r="9" spans="1:23" ht="18" x14ac:dyDescent="0.3">
      <c r="A9" s="3" t="s">
        <v>40</v>
      </c>
      <c r="B9" s="7">
        <v>8180</v>
      </c>
      <c r="C9" s="16">
        <v>2.61</v>
      </c>
      <c r="D9" s="13">
        <v>279194502269.96802</v>
      </c>
      <c r="E9" s="12">
        <f t="shared" si="0"/>
        <v>32754866184.412052</v>
      </c>
      <c r="F9" s="12">
        <f t="shared" si="1"/>
        <v>32754866.184412051</v>
      </c>
      <c r="G9" s="13">
        <v>1.00055405463834</v>
      </c>
      <c r="H9" s="13">
        <v>1223876264.4957099</v>
      </c>
      <c r="I9" s="12">
        <f t="shared" si="2"/>
        <v>143584142.75318339</v>
      </c>
      <c r="J9" s="12">
        <f t="shared" si="3"/>
        <v>14358.414275318341</v>
      </c>
      <c r="K9" s="13">
        <v>1.0003928619167901</v>
      </c>
      <c r="L9" s="8">
        <v>10</v>
      </c>
      <c r="M9" s="8">
        <v>18.3</v>
      </c>
      <c r="N9" s="8">
        <v>23.3</v>
      </c>
      <c r="O9" s="7">
        <v>30</v>
      </c>
      <c r="P9" s="16">
        <v>0.64</v>
      </c>
      <c r="Q9" s="7">
        <v>700</v>
      </c>
      <c r="R9" s="8">
        <v>485000000</v>
      </c>
    </row>
    <row r="10" spans="1:23" ht="18" x14ac:dyDescent="0.3">
      <c r="A10" s="3" t="s">
        <v>41</v>
      </c>
      <c r="B10" s="7">
        <v>4410</v>
      </c>
      <c r="C10" s="16">
        <v>1.75</v>
      </c>
      <c r="D10" s="13">
        <v>117108650073.651</v>
      </c>
      <c r="E10" s="12">
        <f t="shared" si="0"/>
        <v>1243148894.2261953</v>
      </c>
      <c r="F10" s="12">
        <f t="shared" si="1"/>
        <v>1243148.8942261953</v>
      </c>
      <c r="G10" s="13">
        <v>1.0007894571356</v>
      </c>
      <c r="H10" s="13">
        <v>425435242.49228698</v>
      </c>
      <c r="I10" s="12">
        <f t="shared" si="2"/>
        <v>4516142.4961906867</v>
      </c>
      <c r="J10" s="12">
        <f t="shared" si="3"/>
        <v>451.61424961906869</v>
      </c>
      <c r="K10" s="13">
        <v>0.99976714584067305</v>
      </c>
      <c r="L10" s="8">
        <v>17</v>
      </c>
      <c r="M10" s="8">
        <v>17</v>
      </c>
      <c r="N10" s="8">
        <v>17</v>
      </c>
      <c r="O10" s="7">
        <v>17</v>
      </c>
      <c r="P10" s="16">
        <v>1E-3</v>
      </c>
      <c r="Q10" s="7">
        <v>330</v>
      </c>
      <c r="R10" s="8">
        <v>245000000</v>
      </c>
    </row>
    <row r="14" spans="1:23" x14ac:dyDescent="0.3">
      <c r="B14" s="14"/>
    </row>
    <row r="15" spans="1:23" x14ac:dyDescent="0.3">
      <c r="B15" s="9"/>
    </row>
    <row r="16" spans="1:23" x14ac:dyDescent="0.3">
      <c r="B16" s="17"/>
    </row>
  </sheetData>
  <pageMargins left="0.7" right="0.7" top="0.75" bottom="0.75" header="0.3" footer="0.3"/>
  <pageSetup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14</v>
      </c>
      <c r="C4" t="s">
        <v>15</v>
      </c>
      <c r="D4" t="s">
        <v>16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  <pageSetup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b42665d3-b23b-4ea7-95af-927de8e14e61</TitusGUID>
  <TitusMetadata xmlns="">eyJucyI6Imh0dHA6XC9cL3d3dy50aXR1cy5jb21cL25zXC9GTElSIiwicHJvcHMiOlt7Im4iOiJFQ0lEYXRhIiwidmFscyI6W3sidmFsdWUiOiJOTyJ9XX0seyJuIjoiSW5jbHVkZUZvb3RlciIsInZhbHMiOlt7InZhbHVlIjoiTm8ifV19LHsibiI6Ik5vbkVDSU1hcmtpbmciLCJ2YWxzIjpbXX0seyJuIjoiUHVibGljUmVsZWFzZSIsInZhbHMiOltdfSx7Im4iOiJSZWZOdW1iZXIiLCJ2YWxzIjpbXX0seyJuIjoiU2VjdXJpdHlSZXZpZXdObyIsInZhbHMiOltdfSx7Im4iOiJFQ0lKdXJpcyIsInZhbHMiOltdfSx7Im4iOiJFQ0lJVEFSQ2xhc3MiLCJ2YWxzIjpbXX0seyJuIjoiRUNJRUFSQ2xhc3MiLCJ2YWxzIjpbXX0seyJuIjoibm9uVVNDb3VudHJ5IiwidmFscyI6W119LHsibiI6Im5vblVTRUNJSnVyaXMiLCJ2YWxzIjpbXX0seyJuIjoiVW5yZXNDb21wRXh0IiwidmFscyI6W3sidmFsdWUiOiJOTyJ9XX0seyJuIjoiQ29tcFNlbnMiLCJ2YWxzIjpbeyJ2YWx1ZSI6IllFUyJ9XX0seyJuIjoiSW5jbHVkZUNvbXBTZW5zTWFya2luZyIsInZhbHMiOlt7InZhbHVlIjoiWUVTIn1dfSx7Im4iOiJDb25mTGVnUHJpIiwidmFscyI6W3sidmFsdWUiOiJOTyJ9XX0seyJuIjoiUElJRGF0YSIsInZhbHMiOlt7InZhbHVlIjoiTk8ifV19LHsibiI6IkNVSURhdGEiLCJ2YWxzIjpbeyJ2YWx1ZSI6Ik5PIn1dfSx7Im4iOiJJbmNsdWRlQ1VJTWFya2luZyIsInZhbHMiOltdfSx7Im4iOiJDVUlDYXRlZ29yeSIsInZhbHMiOltdfSx7Im4iOiJEaXNzZW1pbmF0aW9uIiwidmFscyI6W119LHsibiI6IlJlbFRvIiwidmFscyI6W119LHsibiI6IkRpc3BsYXlPbmx5IiwidmFscyI6W119LHsibiI6IkNvbnRyb2xsZWRCeSIsInZhbHMiOltdfSx7Im4iOiJDb250cm9sbGVkQnkyIiwidmFscyI6W119LHsibiI6IkNvbnRhY3RJbmZvIiwidmFscyI6W119XX0=</TitusMetadata>
</titus>
</file>

<file path=customXml/itemProps1.xml><?xml version="1.0" encoding="utf-8"?>
<ds:datastoreItem xmlns:ds="http://schemas.openxmlformats.org/officeDocument/2006/customXml" ds:itemID="{0B31030E-81F1-47DE-B1A3-030B2AFFE2D9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2025-11-19T05:17:09Z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b42665d3-b23b-4ea7-95af-927de8e14e61</vt:lpwstr>
  </property>
  <property fmtid="{D5CDD505-2E9C-101B-9397-08002B2CF9AE}" pid="3" name="ECIData">
    <vt:lpwstr>NO</vt:lpwstr>
  </property>
  <property fmtid="{D5CDD505-2E9C-101B-9397-08002B2CF9AE}" pid="4" name="IncludeFooter">
    <vt:lpwstr>No</vt:lpwstr>
  </property>
  <property fmtid="{D5CDD505-2E9C-101B-9397-08002B2CF9AE}" pid="5" name="UnresCompExt">
    <vt:lpwstr>NO</vt:lpwstr>
  </property>
  <property fmtid="{D5CDD505-2E9C-101B-9397-08002B2CF9AE}" pid="6" name="CompSens">
    <vt:lpwstr>YES</vt:lpwstr>
  </property>
  <property fmtid="{D5CDD505-2E9C-101B-9397-08002B2CF9AE}" pid="7" name="IncludeCompSensMarking">
    <vt:lpwstr>YES</vt:lpwstr>
  </property>
  <property fmtid="{D5CDD505-2E9C-101B-9397-08002B2CF9AE}" pid="8" name="ConfLegPri">
    <vt:lpwstr>NO</vt:lpwstr>
  </property>
  <property fmtid="{D5CDD505-2E9C-101B-9397-08002B2CF9AE}" pid="9" name="PIIData">
    <vt:lpwstr>NO</vt:lpwstr>
  </property>
  <property fmtid="{D5CDD505-2E9C-101B-9397-08002B2CF9AE}" pid="10" name="CUIData">
    <vt:lpwstr>NO</vt:lpwstr>
  </property>
</Properties>
</file>