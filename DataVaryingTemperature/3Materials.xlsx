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ropbox\Personal\suresh\Software\Github\ERSL-Private\METALS\DataVaryingTemperature\"/>
    </mc:Choice>
  </mc:AlternateContent>
  <xr:revisionPtr revIDLastSave="0" documentId="13_ncr:1_{F7457294-CBC0-4DAD-8ECC-276FD143515C}" xr6:coauthVersionLast="47" xr6:coauthVersionMax="47" xr10:uidLastSave="{00000000-0000-0000-0000-000000000000}"/>
  <bookViews>
    <workbookView xWindow="1392" yWindow="1536" windowWidth="20604" windowHeight="8880" xr2:uid="{00000000-000D-0000-FFFF-FFFF00000000}"/>
  </bookViews>
  <sheets>
    <sheet name="Main" sheetId="1" r:id="rId1"/>
    <sheet name="Reference" sheetId="2" r:id="rId2"/>
  </sheets>
  <definedNames>
    <definedName name="Cost">Reference!$B$4:$D$4</definedName>
    <definedName name="Density">Reference!$B$2:$D$2</definedName>
    <definedName name="Yield_Strength">Reference!$B$5:$D$5</definedName>
    <definedName name="Youngs_Modulus">Reference!$B$3:$D$3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 s="1"/>
  <c r="I5" i="1"/>
  <c r="F5" i="1"/>
  <c r="G5" i="1" s="1"/>
  <c r="E5" i="1"/>
  <c r="J4" i="1"/>
  <c r="K4" i="1" s="1"/>
  <c r="I4" i="1"/>
  <c r="G4" i="1"/>
  <c r="F4" i="1"/>
  <c r="E4" i="1"/>
  <c r="J3" i="1"/>
  <c r="K3" i="1" s="1"/>
  <c r="I3" i="1"/>
  <c r="F3" i="1"/>
  <c r="G3" i="1" s="1"/>
  <c r="E3" i="1"/>
</calcChain>
</file>

<file path=xl/sharedStrings.xml><?xml version="1.0" encoding="utf-8"?>
<sst xmlns="http://schemas.openxmlformats.org/spreadsheetml/2006/main" count="57" uniqueCount="39">
  <si>
    <t>Attribute</t>
  </si>
  <si>
    <t>Unit 1</t>
  </si>
  <si>
    <t>Unit 2</t>
  </si>
  <si>
    <t>Unit 3</t>
  </si>
  <si>
    <t>Density</t>
  </si>
  <si>
    <t>Youngs_Modulus</t>
  </si>
  <si>
    <t>Cost</t>
  </si>
  <si>
    <t>kg/m^3</t>
  </si>
  <si>
    <t>g/cm^3</t>
  </si>
  <si>
    <t>lb/ft^3</t>
  </si>
  <si>
    <t>GPa</t>
  </si>
  <si>
    <t>MPa</t>
  </si>
  <si>
    <t>Pa</t>
  </si>
  <si>
    <t>Yield_Strength</t>
  </si>
  <si>
    <t>USD/lb</t>
  </si>
  <si>
    <t>USD/g</t>
  </si>
  <si>
    <t>USD/kg</t>
  </si>
  <si>
    <t>E0</t>
  </si>
  <si>
    <t>E1</t>
  </si>
  <si>
    <t>Y0</t>
  </si>
  <si>
    <t>Y1</t>
  </si>
  <si>
    <t>W/m-C</t>
  </si>
  <si>
    <t>E2</t>
  </si>
  <si>
    <t>E3</t>
  </si>
  <si>
    <t>Y2</t>
  </si>
  <si>
    <t>Y3</t>
  </si>
  <si>
    <t>Criticality</t>
  </si>
  <si>
    <t>Dimensionless</t>
  </si>
  <si>
    <t>Celsius</t>
  </si>
  <si>
    <t>K0</t>
  </si>
  <si>
    <t>K1</t>
  </si>
  <si>
    <t>K2</t>
  </si>
  <si>
    <t>K3</t>
  </si>
  <si>
    <t>Temp_Limit</t>
  </si>
  <si>
    <t>AA7075-T73 (A38)</t>
  </si>
  <si>
    <t>SS304 (S2)</t>
  </si>
  <si>
    <t>TiGr2-0deg (T3)</t>
  </si>
  <si>
    <t>PBR</t>
  </si>
  <si>
    <t>Fatigue_Limit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</si>
</sst>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1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1" fontId="0" fillId="3" borderId="1" xfId="0" applyNumberForma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1" fontId="3" fillId="3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tabSelected="1" workbookViewId="0">
      <selection activeCell="A3" sqref="A3"/>
    </sheetView>
  </sheetViews>
  <sheetFormatPr defaultColWidth="9.109375" defaultRowHeight="14.4" x14ac:dyDescent="0.3"/>
  <cols>
    <col min="1" max="1" width="20.6640625" style="1" customWidth="1"/>
    <col min="2" max="2" width="14" style="1" customWidth="1"/>
    <col min="3" max="3" width="12.88671875" style="1" bestFit="1" customWidth="1"/>
    <col min="4" max="6" width="9.33203125" style="1" customWidth="1"/>
    <col min="7" max="7" width="12.44140625" style="1" customWidth="1"/>
    <col min="8" max="10" width="11.6640625" style="1" customWidth="1"/>
    <col min="11" max="14" width="10.44140625" style="1" customWidth="1"/>
    <col min="15" max="15" width="10" style="1" customWidth="1"/>
    <col min="16" max="16" width="13.6640625" style="1" customWidth="1"/>
    <col min="17" max="17" width="16.5546875" style="1" customWidth="1"/>
    <col min="18" max="704" width="20.5546875" style="1" customWidth="1"/>
    <col min="705" max="16384" width="9.109375" style="1"/>
  </cols>
  <sheetData>
    <row r="1" spans="1:22" s="2" customFormat="1" ht="18" x14ac:dyDescent="0.3">
      <c r="A1" s="3"/>
      <c r="B1" s="6" t="s">
        <v>4</v>
      </c>
      <c r="C1" s="14" t="s">
        <v>37</v>
      </c>
      <c r="D1" s="10" t="s">
        <v>17</v>
      </c>
      <c r="E1" s="10" t="s">
        <v>18</v>
      </c>
      <c r="F1" s="10" t="s">
        <v>22</v>
      </c>
      <c r="G1" s="10" t="s">
        <v>23</v>
      </c>
      <c r="H1" s="10" t="s">
        <v>19</v>
      </c>
      <c r="I1" s="10" t="s">
        <v>20</v>
      </c>
      <c r="J1" s="10" t="s">
        <v>24</v>
      </c>
      <c r="K1" s="10" t="s">
        <v>25</v>
      </c>
      <c r="L1" s="6" t="s">
        <v>29</v>
      </c>
      <c r="M1" s="6" t="s">
        <v>30</v>
      </c>
      <c r="N1" s="6" t="s">
        <v>31</v>
      </c>
      <c r="O1" s="6" t="s">
        <v>32</v>
      </c>
      <c r="P1" s="14" t="s">
        <v>26</v>
      </c>
      <c r="Q1" s="6" t="s">
        <v>33</v>
      </c>
      <c r="R1" s="6" t="s">
        <v>38</v>
      </c>
    </row>
    <row r="2" spans="1:22" x14ac:dyDescent="0.3">
      <c r="A2" s="4"/>
      <c r="B2" s="7" t="s">
        <v>7</v>
      </c>
      <c r="C2" s="15" t="s">
        <v>27</v>
      </c>
      <c r="D2" s="11" t="s">
        <v>12</v>
      </c>
      <c r="E2" s="11" t="s">
        <v>12</v>
      </c>
      <c r="F2" s="11" t="s">
        <v>12</v>
      </c>
      <c r="G2" s="11" t="s">
        <v>12</v>
      </c>
      <c r="H2" s="11" t="s">
        <v>12</v>
      </c>
      <c r="I2" s="11" t="s">
        <v>12</v>
      </c>
      <c r="J2" s="11" t="s">
        <v>12</v>
      </c>
      <c r="K2" s="11" t="s">
        <v>12</v>
      </c>
      <c r="L2" s="7" t="s">
        <v>21</v>
      </c>
      <c r="M2" s="7" t="s">
        <v>21</v>
      </c>
      <c r="N2" s="7" t="s">
        <v>21</v>
      </c>
      <c r="O2" s="7" t="s">
        <v>21</v>
      </c>
      <c r="P2" s="15" t="s">
        <v>27</v>
      </c>
      <c r="Q2" s="7" t="s">
        <v>28</v>
      </c>
      <c r="R2" s="7" t="s">
        <v>12</v>
      </c>
    </row>
    <row r="3" spans="1:22" ht="18" x14ac:dyDescent="0.3">
      <c r="A3" s="21" t="s">
        <v>34</v>
      </c>
      <c r="B3" s="7">
        <v>2810</v>
      </c>
      <c r="C3" s="15">
        <v>1.28</v>
      </c>
      <c r="D3" s="12">
        <v>92976880986.810806</v>
      </c>
      <c r="E3" s="12">
        <f t="shared" ref="E3:E5" si="0">D3*EXP(-2000/Q3)</f>
        <v>306684777.10425931</v>
      </c>
      <c r="F3" s="12">
        <f t="shared" ref="F3:F5" si="1">0.1*D3*EXP(-3000/Q3)</f>
        <v>1761371.0038603023</v>
      </c>
      <c r="G3" s="12">
        <f t="shared" ref="G3:G5" si="2">0.1*F3</f>
        <v>176137.10038603024</v>
      </c>
      <c r="H3" s="12">
        <v>413532439.30818099</v>
      </c>
      <c r="I3" s="12">
        <f t="shared" ref="I3:I5" si="3">0.1*H3*EXP(-2000/Q3)</f>
        <v>136403.9131325568</v>
      </c>
      <c r="J3" s="12">
        <f t="shared" ref="J3:J5" si="4">0.1*H3*EXP(-3000/Q3)</f>
        <v>7834.0340095552874</v>
      </c>
      <c r="K3" s="17">
        <f t="shared" ref="K3:K5" si="5">0.1*J3</f>
        <v>783.40340095552881</v>
      </c>
      <c r="L3" s="8">
        <v>155</v>
      </c>
      <c r="M3" s="8">
        <v>155</v>
      </c>
      <c r="N3" s="8">
        <v>155</v>
      </c>
      <c r="O3" s="8">
        <v>155</v>
      </c>
      <c r="P3" s="15">
        <v>0.15</v>
      </c>
      <c r="Q3" s="18">
        <v>350</v>
      </c>
      <c r="R3" s="8">
        <v>150000000</v>
      </c>
    </row>
    <row r="4" spans="1:22" ht="18" x14ac:dyDescent="0.3">
      <c r="A4" s="19" t="s">
        <v>35</v>
      </c>
      <c r="B4" s="7">
        <v>8000</v>
      </c>
      <c r="C4" s="15">
        <v>1.75</v>
      </c>
      <c r="D4" s="12">
        <v>54070808940.932602</v>
      </c>
      <c r="E4" s="12">
        <f t="shared" si="0"/>
        <v>8048876846.430934</v>
      </c>
      <c r="F4" s="12">
        <f t="shared" si="1"/>
        <v>310542818.33966625</v>
      </c>
      <c r="G4" s="12">
        <f t="shared" si="2"/>
        <v>31054281.833966628</v>
      </c>
      <c r="H4" s="12">
        <v>384064916.71307498</v>
      </c>
      <c r="I4" s="12">
        <f t="shared" si="3"/>
        <v>5717116.640580033</v>
      </c>
      <c r="J4" s="12">
        <f t="shared" si="4"/>
        <v>2205785.4135631202</v>
      </c>
      <c r="K4" s="17">
        <f t="shared" si="5"/>
        <v>220578.54135631202</v>
      </c>
      <c r="L4" s="8">
        <v>15</v>
      </c>
      <c r="M4" s="8">
        <v>20</v>
      </c>
      <c r="N4" s="8">
        <v>29.6</v>
      </c>
      <c r="O4" s="7">
        <v>26</v>
      </c>
      <c r="P4" s="15">
        <v>0.46</v>
      </c>
      <c r="Q4" s="18">
        <v>1050</v>
      </c>
      <c r="R4" s="8">
        <v>229000000</v>
      </c>
      <c r="T4" s="5"/>
      <c r="V4" s="5"/>
    </row>
    <row r="5" spans="1:22" ht="18" x14ac:dyDescent="0.3">
      <c r="A5" s="20" t="s">
        <v>36</v>
      </c>
      <c r="B5" s="7">
        <v>4410</v>
      </c>
      <c r="C5" s="15">
        <v>1.75</v>
      </c>
      <c r="D5" s="12">
        <v>117108650073.651</v>
      </c>
      <c r="E5" s="12">
        <f t="shared" si="0"/>
        <v>22118966880.153912</v>
      </c>
      <c r="F5" s="12">
        <f t="shared" si="1"/>
        <v>961286338.01422894</v>
      </c>
      <c r="G5" s="12">
        <f t="shared" si="2"/>
        <v>96128633.801422894</v>
      </c>
      <c r="H5" s="12">
        <v>425435242.49228698</v>
      </c>
      <c r="I5" s="12">
        <f t="shared" si="3"/>
        <v>8035433.789407501</v>
      </c>
      <c r="J5" s="12">
        <f t="shared" si="4"/>
        <v>3492185.1294537433</v>
      </c>
      <c r="K5" s="17">
        <f t="shared" si="5"/>
        <v>349218.51294537436</v>
      </c>
      <c r="L5" s="8">
        <v>17</v>
      </c>
      <c r="M5" s="8">
        <v>17</v>
      </c>
      <c r="N5" s="8">
        <v>17</v>
      </c>
      <c r="O5" s="7">
        <v>17</v>
      </c>
      <c r="P5" s="15">
        <v>1E-3</v>
      </c>
      <c r="Q5" s="18">
        <v>1200</v>
      </c>
      <c r="R5" s="8">
        <v>245000000</v>
      </c>
    </row>
    <row r="9" spans="1:22" x14ac:dyDescent="0.3">
      <c r="B9" s="13"/>
    </row>
    <row r="10" spans="1:22" x14ac:dyDescent="0.3">
      <c r="B10" s="9"/>
    </row>
    <row r="11" spans="1:22" x14ac:dyDescent="0.3">
      <c r="B11" s="16"/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0EBF-8B96-4896-8C13-AD8A976D05A3}">
  <dimension ref="A1:D5"/>
  <sheetViews>
    <sheetView workbookViewId="0">
      <selection activeCell="I5" sqref="I5"/>
    </sheetView>
  </sheetViews>
  <sheetFormatPr defaultRowHeight="14.4" x14ac:dyDescent="0.3"/>
  <cols>
    <col min="1" max="1" width="15.664062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7</v>
      </c>
      <c r="C2" t="s">
        <v>8</v>
      </c>
      <c r="D2" t="s">
        <v>9</v>
      </c>
    </row>
    <row r="3" spans="1:4" x14ac:dyDescent="0.3">
      <c r="A3" t="s">
        <v>5</v>
      </c>
      <c r="B3" t="s">
        <v>10</v>
      </c>
      <c r="C3" t="s">
        <v>11</v>
      </c>
      <c r="D3" t="s">
        <v>12</v>
      </c>
    </row>
    <row r="4" spans="1:4" x14ac:dyDescent="0.3">
      <c r="A4" t="s">
        <v>6</v>
      </c>
      <c r="B4" t="s">
        <v>14</v>
      </c>
      <c r="C4" t="s">
        <v>15</v>
      </c>
      <c r="D4" t="s">
        <v>16</v>
      </c>
    </row>
    <row r="5" spans="1:4" x14ac:dyDescent="0.3">
      <c r="A5" t="s">
        <v>13</v>
      </c>
      <c r="B5" t="s">
        <v>10</v>
      </c>
      <c r="C5" t="s">
        <v>11</v>
      </c>
      <c r="D5" t="s">
        <v>12</v>
      </c>
    </row>
  </sheetData>
  <pageMargins left="0.7" right="0.7" top="0.75" bottom="0.75" header="0.3" footer="0.3"/>
  <pageSetup orientation="portrait" r:id="rId1"/>
  <headerFooter differentFirst="1">
    <oddHeader xml:space="preserve">&amp;L
</oddHeader>
    <oddFooter>&amp;L
&amp;K666666Teledyne Confidential; Commercially Sensitive Business Data</oddFooter>
    <firstHeader xml:space="preserve">&amp;L
</firstHeader>
    <firstFooter>&amp;L
&amp;K666666Teledyne Confidential; Commercially Sensitive Business Data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53a60102-fb63-4ced-9e5c-4647c6c5cb1e</TitusGUID>
  <TitusMetadata xmlns="">eyJucyI6Imh0dHA6XC9cL3d3dy50aXR1cy5jb21cL25zXC9GTElSIiwicHJvcHMiOlt7Im4iOiJFQ0lEYXRhIiwidmFscyI6W3sidmFsdWUiOiJOTyJ9XX0seyJuIjoiSW5jbHVkZUZvb3RlciIsInZhbHMiOlt7InZhbHVlIjoiTm8ifV19LHsibiI6Ik5vbkVDSU1hcmtpbmciLCJ2YWxzIjpbXX0seyJuIjoiUHVibGljUmVsZWFzZSIsInZhbHMiOltdfSx7Im4iOiJSZWZOdW1iZXIiLCJ2YWxzIjpbXX0seyJuIjoiU2VjdXJpdHlSZXZpZXdObyIsInZhbHMiOltdfSx7Im4iOiJFQ0lKdXJpcyIsInZhbHMiOltdfSx7Im4iOiJFQ0lJVEFSQ2xhc3MiLCJ2YWxzIjpbXX0seyJuIjoiRUNJRUFSQ2xhc3MiLCJ2YWxzIjpbXX0seyJuIjoibm9uVVNDb3VudHJ5IiwidmFscyI6W119LHsibiI6Im5vblVTRUNJSnVyaXMiLCJ2YWxzIjpbXX0seyJuIjoiVW5yZXNDb21wRXh0IiwidmFscyI6W3sidmFsdWUiOiJOTyJ9XX0seyJuIjoiQ29tcFNlbnMiLCJ2YWxzIjpbeyJ2YWx1ZSI6IllFUyJ9XX0seyJuIjoiSW5jbHVkZUNvbXBTZW5zTWFya2luZyIsInZhbHMiOlt7InZhbHVlIjoiWUVTIn1dfSx7Im4iOiJDb25mTGVnUHJpIiwidmFscyI6W3sidmFsdWUiOiJOTyJ9XX0seyJuIjoiUElJRGF0YSIsInZhbHMiOlt7InZhbHVlIjoiTk8ifV19LHsibiI6IkNVSURhdGEiLCJ2YWxzIjpbeyJ2YWx1ZSI6Ik5PIn1dfSx7Im4iOiJJbmNsdWRlQ1VJTWFya2luZyIsInZhbHMiOltdfSx7Im4iOiJDVUlDYXRlZ29yeSIsInZhbHMiOltdfSx7Im4iOiJEaXNzZW1pbmF0aW9uIiwidmFscyI6W119LHsibiI6IlJlbFRvIiwidmFscyI6W119LHsibiI6IkRpc3BsYXlPbmx5IiwidmFscyI6W119LHsibiI6IkNvbnRyb2xsZWRCeSIsInZhbHMiOltdfSx7Im4iOiJDb250cm9sbGVkQnkyIiwidmFscyI6W119LHsibiI6IkNvbnRhY3RJbmZvIiwidmFscyI6W119XX0=</TitusMetadata>
</titus>
</file>

<file path=customXml/itemProps1.xml><?xml version="1.0" encoding="utf-8"?>
<ds:datastoreItem xmlns:ds="http://schemas.openxmlformats.org/officeDocument/2006/customXml" ds:itemID="{0B31030E-81F1-47DE-B1A3-030B2AFFE2D9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Main</vt:lpstr>
      <vt:lpstr>Reference</vt:lpstr>
      <vt:lpstr>Cost</vt:lpstr>
      <vt:lpstr>Density</vt:lpstr>
      <vt:lpstr>Yield_Strength</vt:lpstr>
      <vt:lpstr>Youngs_Modulus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Gaurav Deodhare</dc:creator>
  <cp:lastModifiedBy>Krishnan Suresh</cp:lastModifiedBy>
  <dcterms:created xsi:type="dcterms:W3CDTF">2015-06-05T18:17:20Z</dcterms:created>
  <dcterms:modified xsi:type="dcterms:W3CDTF">2025-11-23T17:39:31Z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53a60102-fb63-4ced-9e5c-4647c6c5cb1e</vt:lpwstr>
  </property>
  <property fmtid="{D5CDD505-2E9C-101B-9397-08002B2CF9AE}" pid="3" name="ECIData">
    <vt:lpwstr>NO</vt:lpwstr>
  </property>
  <property fmtid="{D5CDD505-2E9C-101B-9397-08002B2CF9AE}" pid="4" name="IncludeFooter">
    <vt:lpwstr>No</vt:lpwstr>
  </property>
  <property fmtid="{D5CDD505-2E9C-101B-9397-08002B2CF9AE}" pid="5" name="UnresCompExt">
    <vt:lpwstr>NO</vt:lpwstr>
  </property>
  <property fmtid="{D5CDD505-2E9C-101B-9397-08002B2CF9AE}" pid="6" name="CompSens">
    <vt:lpwstr>YES</vt:lpwstr>
  </property>
  <property fmtid="{D5CDD505-2E9C-101B-9397-08002B2CF9AE}" pid="7" name="IncludeCompSensMarking">
    <vt:lpwstr>YES</vt:lpwstr>
  </property>
  <property fmtid="{D5CDD505-2E9C-101B-9397-08002B2CF9AE}" pid="8" name="ConfLegPri">
    <vt:lpwstr>NO</vt:lpwstr>
  </property>
  <property fmtid="{D5CDD505-2E9C-101B-9397-08002B2CF9AE}" pid="9" name="PIIData">
    <vt:lpwstr>NO</vt:lpwstr>
  </property>
  <property fmtid="{D5CDD505-2E9C-101B-9397-08002B2CF9AE}" pid="10" name="CUIData">
    <vt:lpwstr>NO</vt:lpwstr>
  </property>
</Properties>
</file>