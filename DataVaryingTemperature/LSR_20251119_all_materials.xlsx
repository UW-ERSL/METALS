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Dropbox\Personal\suresh\Software\Github\ERSL-Private\METALS\DataVaryingTemperature\"/>
    </mc:Choice>
  </mc:AlternateContent>
  <xr:revisionPtr revIDLastSave="0" documentId="13_ncr:1_{691DB21F-D881-41DC-BEE0-31CD212E62C4}" xr6:coauthVersionLast="47" xr6:coauthVersionMax="47" xr10:uidLastSave="{00000000-0000-0000-0000-000000000000}"/>
  <bookViews>
    <workbookView xWindow="384" yWindow="0" windowWidth="22164" windowHeight="12336" xr2:uid="{00000000-000D-0000-FFFF-FFFF00000000}"/>
  </bookViews>
  <sheets>
    <sheet name="Main" sheetId="1" r:id="rId1"/>
    <sheet name="Reference" sheetId="2" r:id="rId2"/>
  </sheets>
  <definedNames>
    <definedName name="Cost">Reference!$B$4:$D$4</definedName>
    <definedName name="Density">Reference!$B$2:$D$2</definedName>
    <definedName name="Yield_Strength">Reference!$B$5:$D$5</definedName>
    <definedName name="Youngs_Modulus">Reference!$B$3:$D$3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" i="1" l="1"/>
  <c r="G11" i="1"/>
  <c r="G10" i="1"/>
  <c r="G9" i="1"/>
  <c r="G8" i="1"/>
  <c r="G7" i="1"/>
  <c r="G6" i="1"/>
  <c r="G5" i="1"/>
  <c r="G4" i="1"/>
  <c r="G3" i="1"/>
  <c r="F12" i="1"/>
  <c r="F11" i="1"/>
  <c r="F10" i="1"/>
  <c r="F9" i="1"/>
  <c r="F8" i="1"/>
  <c r="F7" i="1"/>
  <c r="F6" i="1"/>
  <c r="F5" i="1"/>
  <c r="F4" i="1"/>
  <c r="E12" i="1"/>
  <c r="E11" i="1"/>
  <c r="E10" i="1"/>
  <c r="E9" i="1"/>
  <c r="E8" i="1"/>
  <c r="E7" i="1"/>
  <c r="E6" i="1"/>
  <c r="E5" i="1"/>
  <c r="E4" i="1"/>
  <c r="I12" i="1"/>
  <c r="I11" i="1"/>
  <c r="I10" i="1"/>
  <c r="I9" i="1"/>
  <c r="I8" i="1"/>
  <c r="I7" i="1"/>
  <c r="I6" i="1"/>
  <c r="I5" i="1"/>
  <c r="I4" i="1"/>
  <c r="J12" i="1"/>
  <c r="K12" i="1" s="1"/>
  <c r="J11" i="1"/>
  <c r="K11" i="1" s="1"/>
  <c r="J10" i="1"/>
  <c r="K10" i="1" s="1"/>
  <c r="J9" i="1"/>
  <c r="K9" i="1" s="1"/>
  <c r="J8" i="1"/>
  <c r="K8" i="1" s="1"/>
  <c r="J7" i="1"/>
  <c r="J6" i="1"/>
  <c r="K6" i="1" s="1"/>
  <c r="J5" i="1"/>
  <c r="K5" i="1" s="1"/>
  <c r="J4" i="1"/>
  <c r="K7" i="1"/>
  <c r="K4" i="1"/>
  <c r="K3" i="1"/>
  <c r="J3" i="1"/>
  <c r="I3" i="1"/>
  <c r="F3" i="1"/>
  <c r="E3" i="1"/>
</calcChain>
</file>

<file path=xl/sharedStrings.xml><?xml version="1.0" encoding="utf-8"?>
<sst xmlns="http://schemas.openxmlformats.org/spreadsheetml/2006/main" count="64" uniqueCount="46">
  <si>
    <t>Attribute</t>
  </si>
  <si>
    <t>Unit 1</t>
  </si>
  <si>
    <t>Unit 2</t>
  </si>
  <si>
    <t>Unit 3</t>
  </si>
  <si>
    <t>Density</t>
  </si>
  <si>
    <t>Youngs_Modulus</t>
  </si>
  <si>
    <t>Cost</t>
  </si>
  <si>
    <t>kg/m^3</t>
  </si>
  <si>
    <t>g/cm^3</t>
  </si>
  <si>
    <t>lb/ft^3</t>
  </si>
  <si>
    <t>GPa</t>
  </si>
  <si>
    <t>MPa</t>
  </si>
  <si>
    <t>Pa</t>
  </si>
  <si>
    <t>Yield_Strength</t>
  </si>
  <si>
    <t>USD/lb</t>
  </si>
  <si>
    <t>USD/g</t>
  </si>
  <si>
    <t>USD/kg</t>
  </si>
  <si>
    <t>E0</t>
  </si>
  <si>
    <t>E1</t>
  </si>
  <si>
    <t>Y0</t>
  </si>
  <si>
    <t>Y1</t>
  </si>
  <si>
    <t>W/m-C</t>
  </si>
  <si>
    <t>E2</t>
  </si>
  <si>
    <t>E3</t>
  </si>
  <si>
    <t>Y2</t>
  </si>
  <si>
    <t>Y3</t>
  </si>
  <si>
    <t>Criticality</t>
  </si>
  <si>
    <t>Dimensionless</t>
  </si>
  <si>
    <t>Celsius</t>
  </si>
  <si>
    <t>K0</t>
  </si>
  <si>
    <t>K1</t>
  </si>
  <si>
    <t>K2</t>
  </si>
  <si>
    <t>K3</t>
  </si>
  <si>
    <t>Temp_Limit</t>
  </si>
  <si>
    <t>AA6061-T6 (A2)</t>
  </si>
  <si>
    <t>AA2024-T3 (A11)</t>
  </si>
  <si>
    <t>AA7075-T73 (A38)</t>
  </si>
  <si>
    <t>SS304 (S2)</t>
  </si>
  <si>
    <t>SS301-H12 (S30)</t>
  </si>
  <si>
    <t>SS15-5PH (S32)</t>
  </si>
  <si>
    <t>Nickel A286 (I16)</t>
  </si>
  <si>
    <t>IN718-DA (I22)</t>
  </si>
  <si>
    <t>TiGr2-0deg (T3)</t>
  </si>
  <si>
    <t>TiGr2-90deg (T4)</t>
  </si>
  <si>
    <t>PBR</t>
  </si>
  <si>
    <t>Fatigue_Limit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</si>
</sst>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1" fontId="0" fillId="2" borderId="1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1" fontId="0" fillId="3" borderId="1" xfId="0" applyNumberFormat="1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11" fontId="3" fillId="3" borderId="1" xfId="0" applyNumberFormat="1" applyFont="1" applyFill="1" applyBorder="1" applyAlignment="1">
      <alignment horizontal="center" vertical="center"/>
    </xf>
    <xf numFmtId="1" fontId="0" fillId="3" borderId="1" xfId="0" applyNumberForma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8"/>
  <sheetViews>
    <sheetView tabSelected="1" workbookViewId="0">
      <selection activeCell="F18" sqref="F18"/>
    </sheetView>
  </sheetViews>
  <sheetFormatPr defaultColWidth="9.109375" defaultRowHeight="14.4" x14ac:dyDescent="0.3"/>
  <cols>
    <col min="1" max="1" width="20.6640625" style="1" customWidth="1"/>
    <col min="2" max="2" width="14" style="1" customWidth="1"/>
    <col min="3" max="3" width="12.88671875" style="1" bestFit="1" customWidth="1"/>
    <col min="4" max="6" width="9.33203125" style="1" customWidth="1"/>
    <col min="7" max="7" width="12.44140625" style="1" customWidth="1"/>
    <col min="8" max="10" width="11.6640625" style="1" customWidth="1"/>
    <col min="11" max="14" width="10.44140625" style="1" customWidth="1"/>
    <col min="15" max="15" width="10" style="1" customWidth="1"/>
    <col min="16" max="16" width="13.6640625" style="1" customWidth="1"/>
    <col min="17" max="17" width="16.5546875" style="1" customWidth="1"/>
    <col min="18" max="704" width="20.5546875" style="1" customWidth="1"/>
    <col min="705" max="16384" width="9.109375" style="1"/>
  </cols>
  <sheetData>
    <row r="1" spans="1:22" s="2" customFormat="1" ht="18" x14ac:dyDescent="0.3">
      <c r="A1" s="3"/>
      <c r="B1" s="6" t="s">
        <v>4</v>
      </c>
      <c r="C1" s="14" t="s">
        <v>44</v>
      </c>
      <c r="D1" s="10" t="s">
        <v>17</v>
      </c>
      <c r="E1" s="10" t="s">
        <v>18</v>
      </c>
      <c r="F1" s="10" t="s">
        <v>22</v>
      </c>
      <c r="G1" s="10" t="s">
        <v>23</v>
      </c>
      <c r="H1" s="10" t="s">
        <v>19</v>
      </c>
      <c r="I1" s="10" t="s">
        <v>20</v>
      </c>
      <c r="J1" s="10" t="s">
        <v>24</v>
      </c>
      <c r="K1" s="10" t="s">
        <v>25</v>
      </c>
      <c r="L1" s="6" t="s">
        <v>29</v>
      </c>
      <c r="M1" s="6" t="s">
        <v>30</v>
      </c>
      <c r="N1" s="6" t="s">
        <v>31</v>
      </c>
      <c r="O1" s="6" t="s">
        <v>32</v>
      </c>
      <c r="P1" s="14" t="s">
        <v>26</v>
      </c>
      <c r="Q1" s="6" t="s">
        <v>33</v>
      </c>
      <c r="R1" s="6" t="s">
        <v>45</v>
      </c>
    </row>
    <row r="2" spans="1:22" x14ac:dyDescent="0.3">
      <c r="A2" s="4"/>
      <c r="B2" s="7" t="s">
        <v>7</v>
      </c>
      <c r="C2" s="15" t="s">
        <v>27</v>
      </c>
      <c r="D2" s="11" t="s">
        <v>12</v>
      </c>
      <c r="E2" s="11" t="s">
        <v>12</v>
      </c>
      <c r="F2" s="11" t="s">
        <v>12</v>
      </c>
      <c r="G2" s="11" t="s">
        <v>12</v>
      </c>
      <c r="H2" s="11" t="s">
        <v>12</v>
      </c>
      <c r="I2" s="11" t="s">
        <v>12</v>
      </c>
      <c r="J2" s="11" t="s">
        <v>12</v>
      </c>
      <c r="K2" s="11" t="s">
        <v>12</v>
      </c>
      <c r="L2" s="7" t="s">
        <v>21</v>
      </c>
      <c r="M2" s="7" t="s">
        <v>21</v>
      </c>
      <c r="N2" s="7" t="s">
        <v>21</v>
      </c>
      <c r="O2" s="7" t="s">
        <v>21</v>
      </c>
      <c r="P2" s="15" t="s">
        <v>27</v>
      </c>
      <c r="Q2" s="7" t="s">
        <v>28</v>
      </c>
      <c r="R2" s="7" t="s">
        <v>12</v>
      </c>
    </row>
    <row r="3" spans="1:22" ht="18" x14ac:dyDescent="0.3">
      <c r="A3" s="3" t="s">
        <v>34</v>
      </c>
      <c r="B3" s="7">
        <v>2690</v>
      </c>
      <c r="C3" s="15">
        <v>1.29</v>
      </c>
      <c r="D3" s="17">
        <v>31660210473.422401</v>
      </c>
      <c r="E3" s="12">
        <f>D3*EXP(-2000/Q3)</f>
        <v>318975670.52076489</v>
      </c>
      <c r="F3" s="12">
        <f>0.1*D3*EXP(-3000/Q3)</f>
        <v>3201691.1808246872</v>
      </c>
      <c r="G3" s="12">
        <f>0.1*F3</f>
        <v>320169.11808246875</v>
      </c>
      <c r="H3" s="12">
        <v>168216570.304768</v>
      </c>
      <c r="I3" s="12">
        <f>0.1*H3*EXP(-2000/Q3)</f>
        <v>169477.68982998349</v>
      </c>
      <c r="J3" s="12">
        <f>0.1*H3*EXP(-3000/Q3)</f>
        <v>17011.179065454031</v>
      </c>
      <c r="K3" s="17">
        <f>0.1*J3</f>
        <v>1701.1179065454032</v>
      </c>
      <c r="L3" s="8">
        <v>161</v>
      </c>
      <c r="M3" s="8">
        <v>153</v>
      </c>
      <c r="N3" s="8">
        <v>212</v>
      </c>
      <c r="O3" s="7">
        <v>156</v>
      </c>
      <c r="P3" s="15">
        <v>0.25</v>
      </c>
      <c r="Q3" s="18">
        <v>435</v>
      </c>
      <c r="R3" s="8">
        <v>112000000</v>
      </c>
    </row>
    <row r="4" spans="1:22" ht="18" x14ac:dyDescent="0.3">
      <c r="A4" s="3" t="s">
        <v>35</v>
      </c>
      <c r="B4" s="7">
        <v>2780</v>
      </c>
      <c r="C4" s="15">
        <v>1.28</v>
      </c>
      <c r="D4" s="12">
        <v>88122361302.941193</v>
      </c>
      <c r="E4" s="12">
        <f t="shared" ref="E4:E12" si="0">D4*EXP(-2000/Q4)</f>
        <v>425450353.708947</v>
      </c>
      <c r="F4" s="12">
        <f t="shared" ref="F4:F12" si="1">0.1*D4*EXP(-3000/Q4)</f>
        <v>2956175.8899659268</v>
      </c>
      <c r="G4" s="12">
        <f t="shared" ref="G4:G12" si="2">0.1*F4</f>
        <v>295617.58899659268</v>
      </c>
      <c r="H4" s="12">
        <v>331895501.95574099</v>
      </c>
      <c r="I4" s="12">
        <f t="shared" ref="I4:I12" si="3">0.1*H4*EXP(-2000/Q4)</f>
        <v>160237.4886619903</v>
      </c>
      <c r="J4" s="12">
        <f t="shared" ref="J4:J12" si="4">0.1*H4*EXP(-3000/Q4)</f>
        <v>11133.853727509615</v>
      </c>
      <c r="K4" s="17">
        <f t="shared" ref="K4:K12" si="5">0.1*J4</f>
        <v>1113.3853727509616</v>
      </c>
      <c r="L4" s="8">
        <v>121</v>
      </c>
      <c r="M4" s="8">
        <v>121</v>
      </c>
      <c r="N4" s="8">
        <v>121</v>
      </c>
      <c r="O4" s="7">
        <v>121</v>
      </c>
      <c r="P4" s="15">
        <v>0.74</v>
      </c>
      <c r="Q4" s="18">
        <v>375</v>
      </c>
      <c r="R4" s="8">
        <v>118000000</v>
      </c>
    </row>
    <row r="5" spans="1:22" ht="18" x14ac:dyDescent="0.3">
      <c r="A5" s="3" t="s">
        <v>36</v>
      </c>
      <c r="B5" s="7">
        <v>2810</v>
      </c>
      <c r="C5" s="15">
        <v>1.28</v>
      </c>
      <c r="D5" s="12">
        <v>92976880986.810806</v>
      </c>
      <c r="E5" s="12">
        <f t="shared" si="0"/>
        <v>306684777.10425931</v>
      </c>
      <c r="F5" s="12">
        <f t="shared" si="1"/>
        <v>1761371.0038603023</v>
      </c>
      <c r="G5" s="12">
        <f t="shared" si="2"/>
        <v>176137.10038603024</v>
      </c>
      <c r="H5" s="12">
        <v>413532439.30818099</v>
      </c>
      <c r="I5" s="12">
        <f t="shared" si="3"/>
        <v>136403.9131325568</v>
      </c>
      <c r="J5" s="12">
        <f t="shared" si="4"/>
        <v>7834.0340095552874</v>
      </c>
      <c r="K5" s="17">
        <f t="shared" si="5"/>
        <v>783.40340095552881</v>
      </c>
      <c r="L5" s="8">
        <v>155</v>
      </c>
      <c r="M5" s="8">
        <v>155</v>
      </c>
      <c r="N5" s="8">
        <v>155</v>
      </c>
      <c r="O5" s="8">
        <v>155</v>
      </c>
      <c r="P5" s="15">
        <v>0.15</v>
      </c>
      <c r="Q5" s="18">
        <v>350</v>
      </c>
      <c r="R5" s="8">
        <v>150000000</v>
      </c>
    </row>
    <row r="6" spans="1:22" ht="18" x14ac:dyDescent="0.3">
      <c r="A6" s="3" t="s">
        <v>37</v>
      </c>
      <c r="B6" s="7">
        <v>8000</v>
      </c>
      <c r="C6" s="15">
        <v>1.75</v>
      </c>
      <c r="D6" s="12">
        <v>54070808940.932602</v>
      </c>
      <c r="E6" s="12">
        <f t="shared" si="0"/>
        <v>8048876846.430934</v>
      </c>
      <c r="F6" s="12">
        <f t="shared" si="1"/>
        <v>310542818.33966625</v>
      </c>
      <c r="G6" s="12">
        <f t="shared" si="2"/>
        <v>31054281.833966628</v>
      </c>
      <c r="H6" s="12">
        <v>384064916.71307498</v>
      </c>
      <c r="I6" s="12">
        <f t="shared" si="3"/>
        <v>5717116.640580033</v>
      </c>
      <c r="J6" s="12">
        <f t="shared" si="4"/>
        <v>2205785.4135631202</v>
      </c>
      <c r="K6" s="17">
        <f t="shared" si="5"/>
        <v>220578.54135631202</v>
      </c>
      <c r="L6" s="8">
        <v>15</v>
      </c>
      <c r="M6" s="8">
        <v>20</v>
      </c>
      <c r="N6" s="8">
        <v>29.6</v>
      </c>
      <c r="O6" s="7">
        <v>26</v>
      </c>
      <c r="P6" s="15">
        <v>0.46</v>
      </c>
      <c r="Q6" s="18">
        <v>1050</v>
      </c>
      <c r="R6" s="8">
        <v>229000000</v>
      </c>
      <c r="T6" s="5"/>
      <c r="V6" s="5"/>
    </row>
    <row r="7" spans="1:22" ht="18" x14ac:dyDescent="0.3">
      <c r="A7" s="3" t="s">
        <v>38</v>
      </c>
      <c r="B7" s="7">
        <v>7880</v>
      </c>
      <c r="C7" s="15">
        <v>1.9</v>
      </c>
      <c r="D7" s="12">
        <v>208286523523.36401</v>
      </c>
      <c r="E7" s="12">
        <f t="shared" si="0"/>
        <v>31005132148.886272</v>
      </c>
      <c r="F7" s="12">
        <f t="shared" si="1"/>
        <v>1196244060.4092991</v>
      </c>
      <c r="G7" s="12">
        <f t="shared" si="2"/>
        <v>119624406.04092991</v>
      </c>
      <c r="H7" s="12">
        <v>1076144940.77356</v>
      </c>
      <c r="I7" s="12">
        <f t="shared" si="3"/>
        <v>16019287.054976879</v>
      </c>
      <c r="J7" s="12">
        <f t="shared" si="4"/>
        <v>6180582.2660220498</v>
      </c>
      <c r="K7" s="17">
        <f t="shared" si="5"/>
        <v>618058.22660220496</v>
      </c>
      <c r="L7" s="8">
        <v>15</v>
      </c>
      <c r="M7" s="8">
        <v>20</v>
      </c>
      <c r="N7" s="8">
        <v>29.6</v>
      </c>
      <c r="O7" s="7">
        <v>26</v>
      </c>
      <c r="P7" s="15">
        <v>0.41</v>
      </c>
      <c r="Q7" s="18">
        <v>1050</v>
      </c>
      <c r="R7" s="8">
        <v>229000000</v>
      </c>
    </row>
    <row r="8" spans="1:22" ht="18" x14ac:dyDescent="0.3">
      <c r="A8" s="3" t="s">
        <v>39</v>
      </c>
      <c r="B8" s="7">
        <v>7790</v>
      </c>
      <c r="C8" s="15">
        <v>2.0499999999999998</v>
      </c>
      <c r="D8" s="12">
        <v>209574029756.772</v>
      </c>
      <c r="E8" s="12">
        <f t="shared" si="0"/>
        <v>31196787855.813713</v>
      </c>
      <c r="F8" s="12">
        <f t="shared" si="1"/>
        <v>1203638545.9400995</v>
      </c>
      <c r="G8" s="12">
        <f t="shared" si="2"/>
        <v>120363854.59400995</v>
      </c>
      <c r="H8" s="12">
        <v>1122217185.4625299</v>
      </c>
      <c r="I8" s="12">
        <f t="shared" si="3"/>
        <v>16705109.647247039</v>
      </c>
      <c r="J8" s="12">
        <f t="shared" si="4"/>
        <v>6445187.2348246612</v>
      </c>
      <c r="K8" s="17">
        <f t="shared" si="5"/>
        <v>644518.72348246619</v>
      </c>
      <c r="L8" s="8">
        <v>18</v>
      </c>
      <c r="M8" s="8">
        <v>18</v>
      </c>
      <c r="N8" s="8">
        <v>18</v>
      </c>
      <c r="O8" s="7">
        <v>18</v>
      </c>
      <c r="P8" s="15">
        <v>0.36</v>
      </c>
      <c r="Q8" s="18">
        <v>1050</v>
      </c>
      <c r="R8" s="8">
        <v>364000000</v>
      </c>
    </row>
    <row r="9" spans="1:22" ht="18" x14ac:dyDescent="0.3">
      <c r="A9" s="3" t="s">
        <v>40</v>
      </c>
      <c r="B9" s="7">
        <v>7900</v>
      </c>
      <c r="C9" s="15">
        <v>1.7</v>
      </c>
      <c r="D9" s="12">
        <v>199715213010.06699</v>
      </c>
      <c r="E9" s="12">
        <f t="shared" si="0"/>
        <v>29189687928.361118</v>
      </c>
      <c r="F9" s="12">
        <f t="shared" si="1"/>
        <v>1115934241.9398842</v>
      </c>
      <c r="G9" s="12">
        <f t="shared" si="2"/>
        <v>111593424.19398843</v>
      </c>
      <c r="H9" s="12">
        <v>367949011.25479698</v>
      </c>
      <c r="I9" s="12">
        <f t="shared" si="3"/>
        <v>5377816.0662879366</v>
      </c>
      <c r="J9" s="12">
        <f t="shared" si="4"/>
        <v>2055962.060969559</v>
      </c>
      <c r="K9" s="17">
        <f t="shared" si="5"/>
        <v>205596.20609695592</v>
      </c>
      <c r="L9" s="8">
        <v>13</v>
      </c>
      <c r="M9" s="8">
        <v>16.8</v>
      </c>
      <c r="N9" s="8">
        <v>32</v>
      </c>
      <c r="O9" s="7">
        <v>23</v>
      </c>
      <c r="P9" s="15">
        <v>0.35</v>
      </c>
      <c r="Q9" s="18">
        <v>1040</v>
      </c>
      <c r="R9" s="8">
        <v>407000000</v>
      </c>
    </row>
    <row r="10" spans="1:22" ht="18" x14ac:dyDescent="0.3">
      <c r="A10" s="3" t="s">
        <v>41</v>
      </c>
      <c r="B10" s="7">
        <v>8180</v>
      </c>
      <c r="C10" s="15">
        <v>2.61</v>
      </c>
      <c r="D10" s="12">
        <v>279194502269.96802</v>
      </c>
      <c r="E10" s="12">
        <f t="shared" si="0"/>
        <v>37784867042.811234</v>
      </c>
      <c r="F10" s="12">
        <f t="shared" si="1"/>
        <v>1390027577.2446644</v>
      </c>
      <c r="G10" s="12">
        <f t="shared" si="2"/>
        <v>139002757.72446644</v>
      </c>
      <c r="H10" s="12">
        <v>1223876264.4957099</v>
      </c>
      <c r="I10" s="12">
        <f t="shared" si="3"/>
        <v>16563364.090209443</v>
      </c>
      <c r="J10" s="12">
        <f t="shared" si="4"/>
        <v>6093321.1254253853</v>
      </c>
      <c r="K10" s="17">
        <f t="shared" si="5"/>
        <v>609332.11254253855</v>
      </c>
      <c r="L10" s="8">
        <v>10</v>
      </c>
      <c r="M10" s="8">
        <v>18.3</v>
      </c>
      <c r="N10" s="8">
        <v>23.3</v>
      </c>
      <c r="O10" s="7">
        <v>30</v>
      </c>
      <c r="P10" s="15">
        <v>0.64</v>
      </c>
      <c r="Q10" s="18">
        <v>1000</v>
      </c>
      <c r="R10" s="8">
        <v>485000000</v>
      </c>
    </row>
    <row r="11" spans="1:22" ht="18" x14ac:dyDescent="0.3">
      <c r="A11" s="3" t="s">
        <v>42</v>
      </c>
      <c r="B11" s="7">
        <v>4410</v>
      </c>
      <c r="C11" s="15">
        <v>1.75</v>
      </c>
      <c r="D11" s="12">
        <v>117108650073.651</v>
      </c>
      <c r="E11" s="12">
        <f t="shared" si="0"/>
        <v>22118966880.153912</v>
      </c>
      <c r="F11" s="12">
        <f t="shared" si="1"/>
        <v>961286338.01422894</v>
      </c>
      <c r="G11" s="12">
        <f t="shared" si="2"/>
        <v>96128633.801422894</v>
      </c>
      <c r="H11" s="12">
        <v>425435242.49228698</v>
      </c>
      <c r="I11" s="12">
        <f t="shared" si="3"/>
        <v>8035433.789407501</v>
      </c>
      <c r="J11" s="12">
        <f t="shared" si="4"/>
        <v>3492185.1294537433</v>
      </c>
      <c r="K11" s="17">
        <f t="shared" si="5"/>
        <v>349218.51294537436</v>
      </c>
      <c r="L11" s="8">
        <v>17</v>
      </c>
      <c r="M11" s="8">
        <v>17</v>
      </c>
      <c r="N11" s="8">
        <v>17</v>
      </c>
      <c r="O11" s="7">
        <v>17</v>
      </c>
      <c r="P11" s="15">
        <v>1E-3</v>
      </c>
      <c r="Q11" s="18">
        <v>1200</v>
      </c>
      <c r="R11" s="8">
        <v>245000000</v>
      </c>
    </row>
    <row r="12" spans="1:22" ht="18" x14ac:dyDescent="0.3">
      <c r="A12" s="3" t="s">
        <v>43</v>
      </c>
      <c r="B12" s="7">
        <v>4410</v>
      </c>
      <c r="C12" s="15">
        <v>1.75</v>
      </c>
      <c r="D12" s="12">
        <v>137833413174.57401</v>
      </c>
      <c r="E12" s="12">
        <f t="shared" si="0"/>
        <v>26033369004.506401</v>
      </c>
      <c r="F12" s="12">
        <f t="shared" si="1"/>
        <v>1131405553.0762184</v>
      </c>
      <c r="G12" s="12">
        <f t="shared" si="2"/>
        <v>113140555.30762184</v>
      </c>
      <c r="H12" s="12">
        <v>504059502.99034601</v>
      </c>
      <c r="I12" s="12">
        <f t="shared" si="3"/>
        <v>9520454.24933034</v>
      </c>
      <c r="J12" s="12">
        <f t="shared" si="4"/>
        <v>4137572.3609325667</v>
      </c>
      <c r="K12" s="17">
        <f t="shared" si="5"/>
        <v>413757.23609325668</v>
      </c>
      <c r="L12" s="8">
        <v>17</v>
      </c>
      <c r="M12" s="8">
        <v>17</v>
      </c>
      <c r="N12" s="8">
        <v>17</v>
      </c>
      <c r="O12" s="7">
        <v>17</v>
      </c>
      <c r="P12" s="15">
        <v>1E-3</v>
      </c>
      <c r="Q12" s="18">
        <v>1200</v>
      </c>
      <c r="R12" s="8">
        <v>245000000</v>
      </c>
    </row>
    <row r="16" spans="1:22" x14ac:dyDescent="0.3">
      <c r="B16" s="13"/>
    </row>
    <row r="17" spans="2:2" x14ac:dyDescent="0.3">
      <c r="B17" s="9"/>
    </row>
    <row r="18" spans="2:2" x14ac:dyDescent="0.3">
      <c r="B18" s="16"/>
    </row>
  </sheetData>
  <pageMargins left="0.7" right="0.7" top="0.75" bottom="0.75" header="0.3" footer="0.3"/>
  <pageSetup orientation="portrait" r:id="rId1"/>
  <headerFooter differentFirst="1">
    <oddHeader xml:space="preserve">&amp;L
</oddHeader>
    <oddFooter>&amp;L
&amp;K666666Teledyne Confidential; Commercially Sensitive Business Data</oddFooter>
    <firstHeader xml:space="preserve">&amp;L
</firstHeader>
    <firstFooter>&amp;L
&amp;K666666Teledyne Confidential; Commercially Sensitive Business Data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C80EBF-8B96-4896-8C13-AD8A976D05A3}">
  <dimension ref="A1:D5"/>
  <sheetViews>
    <sheetView workbookViewId="0">
      <selection activeCell="I5" sqref="I5"/>
    </sheetView>
  </sheetViews>
  <sheetFormatPr defaultRowHeight="14.4" x14ac:dyDescent="0.3"/>
  <cols>
    <col min="1" max="1" width="15.6640625" customWidth="1"/>
  </cols>
  <sheetData>
    <row r="1" spans="1:4" x14ac:dyDescent="0.3">
      <c r="A1" t="s">
        <v>0</v>
      </c>
      <c r="B1" t="s">
        <v>1</v>
      </c>
      <c r="C1" t="s">
        <v>2</v>
      </c>
      <c r="D1" t="s">
        <v>3</v>
      </c>
    </row>
    <row r="2" spans="1:4" x14ac:dyDescent="0.3">
      <c r="A2" t="s">
        <v>4</v>
      </c>
      <c r="B2" t="s">
        <v>7</v>
      </c>
      <c r="C2" t="s">
        <v>8</v>
      </c>
      <c r="D2" t="s">
        <v>9</v>
      </c>
    </row>
    <row r="3" spans="1:4" x14ac:dyDescent="0.3">
      <c r="A3" t="s">
        <v>5</v>
      </c>
      <c r="B3" t="s">
        <v>10</v>
      </c>
      <c r="C3" t="s">
        <v>11</v>
      </c>
      <c r="D3" t="s">
        <v>12</v>
      </c>
    </row>
    <row r="4" spans="1:4" x14ac:dyDescent="0.3">
      <c r="A4" t="s">
        <v>6</v>
      </c>
      <c r="B4" t="s">
        <v>14</v>
      </c>
      <c r="C4" t="s">
        <v>15</v>
      </c>
      <c r="D4" t="s">
        <v>16</v>
      </c>
    </row>
    <row r="5" spans="1:4" x14ac:dyDescent="0.3">
      <c r="A5" t="s">
        <v>13</v>
      </c>
      <c r="B5" t="s">
        <v>10</v>
      </c>
      <c r="C5" t="s">
        <v>11</v>
      </c>
      <c r="D5" t="s">
        <v>12</v>
      </c>
    </row>
  </sheetData>
  <pageMargins left="0.7" right="0.7" top="0.75" bottom="0.75" header="0.3" footer="0.3"/>
  <pageSetup orientation="portrait" r:id="rId1"/>
  <headerFooter differentFirst="1">
    <oddHeader xml:space="preserve">&amp;L
</oddHeader>
    <oddFooter>&amp;L
&amp;K666666Teledyne Confidential; Commercially Sensitive Business Data</oddFooter>
    <firstHeader xml:space="preserve">&amp;L
</firstHeader>
    <firstFooter>&amp;L
&amp;K666666Teledyne Confidential; Commercially Sensitive Business Data</first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titus xmlns="http://schemas.titus.com/TitusProperties/">
  <TitusGUID xmlns="">53a60102-fb63-4ced-9e5c-4647c6c5cb1e</TitusGUID>
  <TitusMetadata xmlns="">eyJucyI6Imh0dHA6XC9cL3d3dy50aXR1cy5jb21cL25zXC9GTElSIiwicHJvcHMiOlt7Im4iOiJFQ0lEYXRhIiwidmFscyI6W3sidmFsdWUiOiJOTyJ9XX0seyJuIjoiSW5jbHVkZUZvb3RlciIsInZhbHMiOlt7InZhbHVlIjoiTm8ifV19LHsibiI6Ik5vbkVDSU1hcmtpbmciLCJ2YWxzIjpbXX0seyJuIjoiUHVibGljUmVsZWFzZSIsInZhbHMiOltdfSx7Im4iOiJSZWZOdW1iZXIiLCJ2YWxzIjpbXX0seyJuIjoiU2VjdXJpdHlSZXZpZXdObyIsInZhbHMiOltdfSx7Im4iOiJFQ0lKdXJpcyIsInZhbHMiOltdfSx7Im4iOiJFQ0lJVEFSQ2xhc3MiLCJ2YWxzIjpbXX0seyJuIjoiRUNJRUFSQ2xhc3MiLCJ2YWxzIjpbXX0seyJuIjoibm9uVVNDb3VudHJ5IiwidmFscyI6W119LHsibiI6Im5vblVTRUNJSnVyaXMiLCJ2YWxzIjpbXX0seyJuIjoiVW5yZXNDb21wRXh0IiwidmFscyI6W3sidmFsdWUiOiJOTyJ9XX0seyJuIjoiQ29tcFNlbnMiLCJ2YWxzIjpbeyJ2YWx1ZSI6IllFUyJ9XX0seyJuIjoiSW5jbHVkZUNvbXBTZW5zTWFya2luZyIsInZhbHMiOlt7InZhbHVlIjoiWUVTIn1dfSx7Im4iOiJDb25mTGVnUHJpIiwidmFscyI6W3sidmFsdWUiOiJOTyJ9XX0seyJuIjoiUElJRGF0YSIsInZhbHMiOlt7InZhbHVlIjoiTk8ifV19LHsibiI6IkNVSURhdGEiLCJ2YWxzIjpbeyJ2YWx1ZSI6Ik5PIn1dfSx7Im4iOiJJbmNsdWRlQ1VJTWFya2luZyIsInZhbHMiOltdfSx7Im4iOiJDVUlDYXRlZ29yeSIsInZhbHMiOltdfSx7Im4iOiJEaXNzZW1pbmF0aW9uIiwidmFscyI6W119LHsibiI6IlJlbFRvIiwidmFscyI6W119LHsibiI6IkRpc3BsYXlPbmx5IiwidmFscyI6W119LHsibiI6IkNvbnRyb2xsZWRCeSIsInZhbHMiOltdfSx7Im4iOiJDb250cm9sbGVkQnkyIiwidmFscyI6W119LHsibiI6IkNvbnRhY3RJbmZvIiwidmFscyI6W119XX0=</TitusMetadata>
</titus>
</file>

<file path=customXml/itemProps1.xml><?xml version="1.0" encoding="utf-8"?>
<ds:datastoreItem xmlns:ds="http://schemas.openxmlformats.org/officeDocument/2006/customXml" ds:itemID="{0B31030E-81F1-47DE-B1A3-030B2AFFE2D9}">
  <ds:schemaRefs>
    <ds:schemaRef ds:uri="http://schemas.titus.com/TitusProperties/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HeadingPairs>
  <TitlesOfParts>
    <vt:vector size="6" baseType="lpstr">
      <vt:lpstr>Main</vt:lpstr>
      <vt:lpstr>Reference</vt:lpstr>
      <vt:lpstr>Cost</vt:lpstr>
      <vt:lpstr>Density</vt:lpstr>
      <vt:lpstr>Yield_Strength</vt:lpstr>
      <vt:lpstr>Youngs_Modulus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Gaurav Deodhare</dc:creator>
  <cp:lastModifiedBy>Krishnan Suresh</cp:lastModifiedBy>
  <dcterms:created xsi:type="dcterms:W3CDTF">2015-06-05T18:17:20Z</dcterms:created>
  <dcterms:modified xsi:type="dcterms:W3CDTF">2025-11-23T00:52:05Z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53a60102-fb63-4ced-9e5c-4647c6c5cb1e</vt:lpwstr>
  </property>
  <property fmtid="{D5CDD505-2E9C-101B-9397-08002B2CF9AE}" pid="3" name="ECIData">
    <vt:lpwstr>NO</vt:lpwstr>
  </property>
  <property fmtid="{D5CDD505-2E9C-101B-9397-08002B2CF9AE}" pid="4" name="IncludeFooter">
    <vt:lpwstr>No</vt:lpwstr>
  </property>
  <property fmtid="{D5CDD505-2E9C-101B-9397-08002B2CF9AE}" pid="5" name="UnresCompExt">
    <vt:lpwstr>NO</vt:lpwstr>
  </property>
  <property fmtid="{D5CDD505-2E9C-101B-9397-08002B2CF9AE}" pid="6" name="CompSens">
    <vt:lpwstr>YES</vt:lpwstr>
  </property>
  <property fmtid="{D5CDD505-2E9C-101B-9397-08002B2CF9AE}" pid="7" name="IncludeCompSensMarking">
    <vt:lpwstr>YES</vt:lpwstr>
  </property>
  <property fmtid="{D5CDD505-2E9C-101B-9397-08002B2CF9AE}" pid="8" name="ConfLegPri">
    <vt:lpwstr>NO</vt:lpwstr>
  </property>
  <property fmtid="{D5CDD505-2E9C-101B-9397-08002B2CF9AE}" pid="9" name="PIIData">
    <vt:lpwstr>NO</vt:lpwstr>
  </property>
  <property fmtid="{D5CDD505-2E9C-101B-9397-08002B2CF9AE}" pid="10" name="CUIData">
    <vt:lpwstr>NO</vt:lpwstr>
  </property>
</Properties>
</file>